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k\Downloads\"/>
    </mc:Choice>
  </mc:AlternateContent>
  <xr:revisionPtr revIDLastSave="0" documentId="13_ncr:1_{153ECFD0-2142-4460-8670-BE1A7A142B9D}" xr6:coauthVersionLast="47" xr6:coauthVersionMax="47" xr10:uidLastSave="{00000000-0000-0000-0000-000000000000}"/>
  <bookViews>
    <workbookView xWindow="-98" yWindow="-98" windowWidth="28996" windowHeight="17475" tabRatio="500" activeTab="5" xr2:uid="{00000000-000D-0000-FFFF-FFFF00000000}"/>
  </bookViews>
  <sheets>
    <sheet name="0_README" sheetId="1" r:id="rId1"/>
    <sheet name="1_Cost_Job" sheetId="2" r:id="rId2"/>
    <sheet name="2_Pricing" sheetId="3" r:id="rId3"/>
    <sheet name="3_Value_Metric" sheetId="4" r:id="rId4"/>
    <sheet name="4_Channel_Fit" sheetId="5" r:id="rId5"/>
    <sheet name="5_90Day_Plan" sheetId="6" r:id="rId6"/>
    <sheet name="6_Benchmarks" sheetId="7" r:id="rId7"/>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4" i="5" l="1"/>
  <c r="C34" i="5"/>
  <c r="B34" i="5"/>
  <c r="B22" i="5"/>
  <c r="B10" i="5"/>
  <c r="B15" i="5" s="1"/>
  <c r="B16" i="5" s="1"/>
  <c r="B17" i="5" s="1"/>
  <c r="B8" i="5"/>
  <c r="B18" i="4"/>
  <c r="B10" i="4"/>
  <c r="B51" i="3"/>
  <c r="B34" i="3"/>
  <c r="B31" i="3"/>
  <c r="B30" i="3"/>
  <c r="B16" i="3"/>
  <c r="B15" i="3"/>
  <c r="B13" i="3"/>
  <c r="B12" i="3"/>
  <c r="B77" i="2"/>
  <c r="B73" i="2"/>
  <c r="B64" i="2"/>
  <c r="B54" i="2"/>
  <c r="B43" i="2"/>
  <c r="B74" i="2" s="1"/>
  <c r="B38" i="2"/>
  <c r="B26" i="2"/>
  <c r="B28" i="2" s="1"/>
  <c r="B25" i="2"/>
  <c r="B24" i="2"/>
  <c r="B23" i="2"/>
  <c r="B11" i="2"/>
  <c r="B35" i="5" l="1"/>
  <c r="B21" i="4"/>
  <c r="B27" i="2"/>
  <c r="B12" i="2"/>
  <c r="B55" i="2" s="1"/>
  <c r="B56" i="2" s="1"/>
  <c r="B29" i="2" l="1"/>
  <c r="B31" i="2"/>
  <c r="B76" i="2"/>
  <c r="B63" i="2"/>
  <c r="B47" i="2" l="1"/>
  <c r="B72" i="2"/>
  <c r="B62" i="2" l="1"/>
  <c r="B29" i="3"/>
  <c r="B75" i="2"/>
  <c r="B65" i="2" l="1"/>
  <c r="B66" i="2"/>
  <c r="B33" i="3"/>
  <c r="B39" i="3"/>
  <c r="C39" i="3" s="1"/>
  <c r="D39" i="3" s="1"/>
  <c r="B40" i="3"/>
  <c r="C40" i="3" s="1"/>
  <c r="D40" i="3" s="1"/>
  <c r="B41" i="3"/>
  <c r="C41" i="3" s="1"/>
  <c r="D41" i="3" s="1"/>
  <c r="B42" i="3"/>
  <c r="C42" i="3" s="1"/>
  <c r="D42" i="3" s="1"/>
  <c r="B43" i="3"/>
  <c r="C43" i="3" s="1"/>
  <c r="D43" i="3" s="1"/>
  <c r="B44" i="3"/>
  <c r="C44" i="3" s="1"/>
  <c r="D44" i="3" s="1"/>
  <c r="B67" i="2" l="1"/>
  <c r="C74" i="2"/>
  <c r="C72" i="2"/>
  <c r="C73" i="2"/>
  <c r="C75" i="2"/>
  <c r="C76" i="2"/>
  <c r="C77" i="2"/>
  <c r="B69" i="2"/>
  <c r="B5" i="3"/>
  <c r="B53" i="3"/>
  <c r="B35" i="3"/>
  <c r="B49" i="3" l="1"/>
  <c r="B21" i="3"/>
  <c r="B20" i="3"/>
  <c r="B22" i="3" s="1"/>
  <c r="B7" i="3"/>
  <c r="B6" i="5" l="1"/>
  <c r="B9" i="5" s="1"/>
  <c r="B23" i="5" s="1"/>
  <c r="B24" i="5" s="1"/>
  <c r="B24" i="3"/>
  <c r="B23" i="3"/>
  <c r="B52" i="3"/>
  <c r="B50" i="3"/>
  <c r="B25"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5" authorId="0" shapeId="0" xr:uid="{00000000-0006-0000-0100-000001000000}">
      <text>
        <r>
          <rPr>
            <sz val="10"/>
            <rFont val="Arial"/>
            <family val="2"/>
          </rPr>
          <t>Ví dụ mẫu đang điền sẵn — thay bằng sản phẩm của bạn.</t>
        </r>
      </text>
    </comment>
  </commentList>
</comments>
</file>

<file path=xl/sharedStrings.xml><?xml version="1.0" encoding="utf-8"?>
<sst xmlns="http://schemas.openxmlformats.org/spreadsheetml/2006/main" count="568" uniqueCount="482">
  <si>
    <t>DAY 28 — MONETIZATION MODEL</t>
  </si>
  <si>
    <t>AI Pricing · GTM · Evidence — AI-IN-ACTION Track 1</t>
  </si>
  <si>
    <t>QUY ƯỚC MÀU — CHỈ ĐIỀN VÀO Ô MÀU VÀNG</t>
  </si>
  <si>
    <t>Ô VÀNG, chữ xanh dương</t>
  </si>
  <si>
    <t>Ô bạn phải điền</t>
  </si>
  <si>
    <t>Ô XÁM, chữ đen</t>
  </si>
  <si>
    <t>Công thức tự tính — KHÔNG SỬA</t>
  </si>
  <si>
    <t>Chữ xanh lá</t>
  </si>
  <si>
    <t>Link sang tab khác</t>
  </si>
  <si>
    <t>Ô XÁM đậm nhạt</t>
  </si>
  <si>
    <t>Bảng tham chiếu, chỉ đọc</t>
  </si>
  <si>
    <t>THỨ TỰ LÀM — 6 TRẠM, 120 PHÚT</t>
  </si>
  <si>
    <t>Trạm 1 · 15'</t>
  </si>
  <si>
    <t>Ngân sách khách &amp; định nghĩa Job → điền S1–S2 của tab 1_Cost_Job</t>
  </si>
  <si>
    <t>Trạm 2 · 20'</t>
  </si>
  <si>
    <t>Value Metric → tab 3_Value_Metric</t>
  </si>
  <si>
    <t>Trạm 3 · 30'</t>
  </si>
  <si>
    <t>Cost/Job, giá sàn &amp; giá trần → tab 1_Cost_Job (S3–S8) rồi 2_Pricing</t>
  </si>
  <si>
    <t>Trạm 4 · 20'</t>
  </si>
  <si>
    <t>Kênh phân phối &amp; Affordability Test → tab 4_Channel_Fit</t>
  </si>
  <si>
    <t>Trạm 5 · 15'</t>
  </si>
  <si>
    <t>Pain Moment &amp; 90-Day Plan → tab 5_90Day_Plan</t>
  </si>
  <si>
    <t>Trạm 6 · 20'</t>
  </si>
  <si>
    <t>Evidence Pack &amp; ráp One-Pager → tab 5_90Day_Plan + file .docx</t>
  </si>
  <si>
    <t>3 QUY TẮC KHÔNG ĐƯỢC PHÁ</t>
  </si>
  <si>
    <t>1. Chia cho số job HOÀN THÀNH, không phải số job đã thử.</t>
  </si>
  <si>
    <t>2. HITL và Retry không được để 0 nếu không có lý do viết ra được.</t>
  </si>
  <si>
    <t>3. Mọi con số giá API phải có NGÀY kiểm tra (xem tab 6_Benchmarks).</t>
  </si>
  <si>
    <t>Giá tham chiếu trong workbook này được chốt ngày 26/08/2026. Nhiều mức giá là KHUYẾN MẠI CÓ HẠN.</t>
  </si>
  <si>
    <t>Bạn PHẢI tự mở lại trang giá của nhà cung cấp và cập nhật — đây là một phần của bài tập.</t>
  </si>
  <si>
    <t>TAB 1 — COST/JOB CALCULATOR</t>
  </si>
  <si>
    <t>Trạm 1 (S1–S2) và Trạm 3 (S3–S8). Chỉ điền ô vàng.</t>
  </si>
  <si>
    <t>S1. ĐỊNH NGHĨA JOB</t>
  </si>
  <si>
    <t>1 job của bạn là gì?</t>
  </si>
  <si>
    <t>Phải là thứ KHÁCH coi là giá trị — không phải '1 request'</t>
  </si>
  <si>
    <t>Biến thể HITL: A hay B?</t>
  </si>
  <si>
    <t>A = khách tự xử lý ca escalate · B = BẠN chịu (outcome/managed)</t>
  </si>
  <si>
    <t>S2. KHỐI LƯỢNG</t>
  </si>
  <si>
    <t>Số job THỬ / tháng</t>
  </si>
  <si>
    <t>job</t>
  </si>
  <si>
    <t>Containment rate (AI tự làm xong)</t>
  </si>
  <si>
    <t>Lấy từ eval Day 21–22. Chưa đo → ước tính và ghi rõ</t>
  </si>
  <si>
    <t>→ Số job HOÀN THÀNH / tháng</t>
  </si>
  <si>
    <t>MẪU SỐ của Cost/Job</t>
  </si>
  <si>
    <t>→ Số job KHÔNG xong / tháng</t>
  </si>
  <si>
    <t>Số ca phải escalate</t>
  </si>
  <si>
    <t>S3. API — LLM</t>
  </si>
  <si>
    <t>Giá input ($ / 1M token)</t>
  </si>
  <si>
    <t>Claude Haiku 4.5 — xem tab 6_Benchmarks</t>
  </si>
  <si>
    <t>Giá output ($ / 1M token)</t>
  </si>
  <si>
    <t>Giá cache WRITE ($ / 1M token)</t>
  </si>
  <si>
    <t>Anthropic 5-phút = 1,25× input</t>
  </si>
  <si>
    <t>Giá cache READ ($ / 1M token)</t>
  </si>
  <si>
    <t>≈ 0,1× input (giảm 90%)</t>
  </si>
  <si>
    <t>Số lượt (turns) / job</t>
  </si>
  <si>
    <t>lượt</t>
  </si>
  <si>
    <t>Token input CACHE ĐƯỢC / lượt</t>
  </si>
  <si>
    <t>token</t>
  </si>
  <si>
    <t>System prompt + KB + few-shot</t>
  </si>
  <si>
    <t>Token input FRESH / lượt</t>
  </si>
  <si>
    <t>Câu hỏi khách + dữ liệu động</t>
  </si>
  <si>
    <t>Token output / lượt</t>
  </si>
  <si>
    <t>→ Cache write / job</t>
  </si>
  <si>
    <t>→ Cache read / job</t>
  </si>
  <si>
    <t>→ Input fresh / job</t>
  </si>
  <si>
    <t>→ Output / job</t>
  </si>
  <si>
    <t>→ LLM / job — CÓ prompt caching</t>
  </si>
  <si>
    <t>→ LLM / job — KHÔNG cache</t>
  </si>
  <si>
    <t>→ % tiết kiệm nhờ caching</t>
  </si>
  <si>
    <t>Đòn bẩy rẻ nhất bạn có</t>
  </si>
  <si>
    <t>Dùng Batch API? (1 = có, 0 = không)</t>
  </si>
  <si>
    <t>Batch giảm 50% — chỉ khi job KHÔNG cần realtime</t>
  </si>
  <si>
    <t>→ LLM / job sau Batch</t>
  </si>
  <si>
    <t>S4. API — SPEECH (để 0 nếu sản phẩm không có thoại)</t>
  </si>
  <si>
    <t>Giá STT ($ / phút)</t>
  </si>
  <si>
    <t>Deepgram streaming list $0,0077/phút</t>
  </si>
  <si>
    <t>Số phút audio / job</t>
  </si>
  <si>
    <t>phút</t>
  </si>
  <si>
    <t>Giá TTS ($ / 1M ký tự)</t>
  </si>
  <si>
    <t>ElevenLabs Flash $50 · Google Standard $4</t>
  </si>
  <si>
    <t>Số ký tự TTS / job</t>
  </si>
  <si>
    <t>ký tự</t>
  </si>
  <si>
    <t>≈ 900 ký tự cho mỗi phút bot nói</t>
  </si>
  <si>
    <t>→ Speech / job</t>
  </si>
  <si>
    <t>S5. INFRA</t>
  </si>
  <si>
    <t>Infra / job ($)</t>
  </si>
  <si>
    <t>Vector DB, embedding, storage, logging</t>
  </si>
  <si>
    <t>Telephony ($ / phút)</t>
  </si>
  <si>
    <t>→ Infra / job</t>
  </si>
  <si>
    <t>S6. RETRY</t>
  </si>
  <si>
    <t>Tỷ lệ job phải chạy lại</t>
  </si>
  <si>
    <t>ĐỪNG để 0%. Thực tế 5–10% là bình thường</t>
  </si>
  <si>
    <t>→ Retry / job</t>
  </si>
  <si>
    <t>S7. HITL — người trong vòng lặp</t>
  </si>
  <si>
    <t>Chi phí nhân sự ($ / giờ, fully-loaded)</t>
  </si>
  <si>
    <t>Gồm lương + bảo hiểm + quản lý + chỗ ngồi</t>
  </si>
  <si>
    <t>% hội thoại QA nội bộ</t>
  </si>
  <si>
    <t>Luôn có, kể cả Biến thể A</t>
  </si>
  <si>
    <t>Số phút QA / ca</t>
  </si>
  <si>
    <t>Số phút xử lý 1 ca escalate</t>
  </si>
  <si>
    <t>→ QA nội bộ / tháng</t>
  </si>
  <si>
    <t>→ Escalation / tháng (chỉ Biến thể B)</t>
  </si>
  <si>
    <t>Biến thể A → 0 vì khách tự chịu</t>
  </si>
  <si>
    <t>→ Tổng HITL / tháng</t>
  </si>
  <si>
    <t>S8. OVERHEAD (tuỳ chọn)</t>
  </si>
  <si>
    <t>R&amp;D + Sales phân bổ / tháng ($)</t>
  </si>
  <si>
    <t>Để 0 nếu chỉ muốn xem Cost/Job thuần COGS</t>
  </si>
  <si>
    <t>KẾT QUẢ</t>
  </si>
  <si>
    <t>Chi phí biến đổi / tháng (API + Speech + Infra + Retry)</t>
  </si>
  <si>
    <t>HITL / tháng</t>
  </si>
  <si>
    <t>Overhead / tháng</t>
  </si>
  <si>
    <t>TỔNG CHI PHÍ / tháng</t>
  </si>
  <si>
    <t>★ COST/JOB (chưa overhead)</t>
  </si>
  <si>
    <t>$/job</t>
  </si>
  <si>
    <t>Con số chảy sang tab 2_Pricing</t>
  </si>
  <si>
    <t>★ COST/JOB (có overhead)</t>
  </si>
  <si>
    <t>Tỷ giá (₫ / USD) — giả định</t>
  </si>
  <si>
    <t>₫/USD</t>
  </si>
  <si>
    <t>Thay bằng tỷ giá thực tế khi làm bài</t>
  </si>
  <si>
    <t>→ Cost/Job quy đổi</t>
  </si>
  <si>
    <t>₫/job</t>
  </si>
  <si>
    <t>THÀNH PHẦN NÀO ĂN NHIỀU NHẤT? (kiểm tra nhanh)</t>
  </si>
  <si>
    <t>LLM</t>
  </si>
  <si>
    <t>Speech</t>
  </si>
  <si>
    <t>Infra</t>
  </si>
  <si>
    <t>Retry</t>
  </si>
  <si>
    <t>HITL</t>
  </si>
  <si>
    <t>Overhead</t>
  </si>
  <si>
    <t>Nếu LLM chiếm &gt;80% thì gần như chắc chắn bạn đang thiếu chi phí ở S5–S7.</t>
  </si>
  <si>
    <t>TAB 2 — PRICING SANITY CHECK</t>
  </si>
  <si>
    <t>Trạm 3. Cost/Job tự lấy từ tab 1. Bạn điền giá bán và các con số neo giá.</t>
  </si>
  <si>
    <t>GIÁ SÀN</t>
  </si>
  <si>
    <t>Cost/Job (từ tab 1_Cost_Job)</t>
  </si>
  <si>
    <t>Hệ số an toàn tối thiểu</t>
  </si>
  <si>
    <t>×</t>
  </si>
  <si>
    <t>Chuẩn Day 28: giá bán ≥ 3 × Cost/Job</t>
  </si>
  <si>
    <t>→ GIÁ SÀN</t>
  </si>
  <si>
    <t>GIÁ TRẦN — NEO THEO THỨ KHÁCH ĐANG CHI</t>
  </si>
  <si>
    <t>Giá trị khách tiết kiệm được / tháng ($)</t>
  </si>
  <si>
    <t>Neo theo giá trị</t>
  </si>
  <si>
    <t>Số job / tháng của 1 khách</t>
  </si>
  <si>
    <t>→ Trần theo giá trị — mức 10%</t>
  </si>
  <si>
    <t>→ Trần theo giá trị — mức 25%</t>
  </si>
  <si>
    <t>Lương / tháng của vị trí bị thay ($)</t>
  </si>
  <si>
    <t>Neo theo nhân công</t>
  </si>
  <si>
    <t>→ Trần theo nhân công — mức 50%</t>
  </si>
  <si>
    <t>→ Trần theo nhân công — mức 70%</t>
  </si>
  <si>
    <t>GIÁ BÁN CỦA BẠN</t>
  </si>
  <si>
    <t>★ Giá bán đề xuất ($ / job)</t>
  </si>
  <si>
    <t>Tham chiếu: Intercom Fin $0,99 · Zendesk $1,50</t>
  </si>
  <si>
    <t>→ Bội số so với Cost/Job</t>
  </si>
  <si>
    <t>→ GROSS MARGIN</t>
  </si>
  <si>
    <t>→ Đèn: bội số ≥ 3?</t>
  </si>
  <si>
    <t>→ Đèn: Gross Margin</t>
  </si>
  <si>
    <t>→ Đèn: GM có cao bất thường?</t>
  </si>
  <si>
    <t>→ Giá bán nằm trong vùng neo?</t>
  </si>
  <si>
    <t>BREAKEVEN CONTAINMENT — ngưỡng sống còn</t>
  </si>
  <si>
    <t>Ký hiệu: v = chi phí biến đổi / job thử · q = QA / job thử · e = chi phí 1 ca escalate</t>
  </si>
  <si>
    <t>v — chi phí biến đổi / job thử</t>
  </si>
  <si>
    <t>q — QA nội bộ / job thử</t>
  </si>
  <si>
    <t>e — chi phí 1 ca escalate</t>
  </si>
  <si>
    <t>Gross Margin mục tiêu</t>
  </si>
  <si>
    <t>★ Containment tối thiểu cần đạt</t>
  </si>
  <si>
    <t>Công thức: R ≥ (v+q+e) / (P×(1−GM)+e)</t>
  </si>
  <si>
    <t>Containment hiện tại (từ tab 1)</t>
  </si>
  <si>
    <t>→ Kết luận</t>
  </si>
  <si>
    <t>SENSITIVITY — mô hình gãy ở đâu?</t>
  </si>
  <si>
    <t>Containment</t>
  </si>
  <si>
    <t>Cost/Job</t>
  </si>
  <si>
    <t>Gross Margin</t>
  </si>
  <si>
    <t>Đánh giá</t>
  </si>
  <si>
    <t>Nhìn cột Gross Margin: mô hình của bạn mong manh đến mức nào khi AI làm sai nhiều hơn dự kiến?</t>
  </si>
  <si>
    <t>5 CON SỐ PHẢI MANG SANG ONE-PAGER</t>
  </si>
  <si>
    <t>Giá sàn (3×)</t>
  </si>
  <si>
    <t>Giá bán đề xuất</t>
  </si>
  <si>
    <t>Breakeven containment</t>
  </si>
  <si>
    <t>TAB 3 — VALUE METRIC SCORECARD</t>
  </si>
  <si>
    <t>Trạm 2. Chấm 0 / 1 / 2 điểm cho mỗi câu, theo THỰC TẾ HÔM NAY.</t>
  </si>
  <si>
    <t>A. ATTRIBUTION — bạn đo được kết quả là do AI tạo ra không?</t>
  </si>
  <si>
    <t>1. Tôi có log đầy đủ mỗi job AI xử lý, gắn được với kết quả cuối cùng</t>
  </si>
  <si>
    <t>2. Tôi có bộ eval (Day 21–22) đo được tỷ lệ AI làm đúng, có số liệu</t>
  </si>
  <si>
    <t>3. Khách hàng đồng ý với cách tôi định nghĩa 'thành công' của một job</t>
  </si>
  <si>
    <t>4. Tôi phân biệt được kết quả do AI tạo ra với kết quả do yếu tố khác</t>
  </si>
  <si>
    <t>5. Tôi viết được định nghĩa chặt như Intercom: cái gì tính tiền, cái gì không</t>
  </si>
  <si>
    <t>→ ĐIỂM ATTRIBUTION (tối đa 10)</t>
  </si>
  <si>
    <t>B. AUTONOMY — AI tự chạy hay cần người?</t>
  </si>
  <si>
    <t>1. AI hoàn thành job từ đầu đến cuối, không cần người bấm nút giữa chừng</t>
  </si>
  <si>
    <t>2. Job chạy được ngoài giờ hành chính mà không ai trực</t>
  </si>
  <si>
    <t>3. Khi AI không chắc, nó tự chuyển tiếp đúng chỗ — không cần người phân loại</t>
  </si>
  <si>
    <t>4. Tỷ lệ ca phải có người can thiệp dưới 20%</t>
  </si>
  <si>
    <t>5. Người vận hành chỉ kiểm tra mẫu (QA), không xử lý từng ca</t>
  </si>
  <si>
    <t>→ ĐIỂM AUTONOMY (tối đa 10)</t>
  </si>
  <si>
    <t>GỢI Ý CỦA MODEL</t>
  </si>
  <si>
    <t>→ Value Metric gợi ý</t>
  </si>
  <si>
    <t>Ngưỡng 7/10 là quy ước của bài tập, không phải chuẩn ngành — dùng để buộc bạn ra quyết định, không phải để thay bạn quyết định.</t>
  </si>
  <si>
    <t>BENCHMARK NGƯỢC — 2 sản phẩm thật cùng loại job</t>
  </si>
  <si>
    <t>Tên sản phẩm</t>
  </si>
  <si>
    <t>Value Metric</t>
  </si>
  <si>
    <t>Giá công bố</t>
  </si>
  <si>
    <t>Link nguồn</t>
  </si>
  <si>
    <t>QUYẾT ĐỊNH CUỐI</t>
  </si>
  <si>
    <t>Value Metric tôi chọn</t>
  </si>
  <si>
    <t>Nếu KHÁC gợi ý — lý do thị trường là gì?</t>
  </si>
  <si>
    <t>Decision Note — câu 1: tôi chọn đơn vị nào?</t>
  </si>
  <si>
    <t>Decision Note — câu 2: bằng chứng Attribution / Autonomy?</t>
  </si>
  <si>
    <t>Decision Note — câu 3: mô hình này lỗ trong tình huống nào?</t>
  </si>
  <si>
    <t>TAB 4 — CHANNEL FIT &amp; AFFORDABILITY TEST</t>
  </si>
  <si>
    <t>Trạm 4. Chọn ĐÚNG 1 kênh cho 90 ngày đầu — và chứng minh bằng số.</t>
  </si>
  <si>
    <t>A. NGÂN SÁCH CAC — bạn nuôi nổi kênh nào?</t>
  </si>
  <si>
    <t>ARPU / tháng ($)</t>
  </si>
  <si>
    <t>Gross Margin (từ tab 2_Pricing)</t>
  </si>
  <si>
    <t>Phân khúc (SMB / Mid / Enterprise)</t>
  </si>
  <si>
    <t>SMB</t>
  </si>
  <si>
    <t>→ CAC payback cho phép (tháng)</t>
  </si>
  <si>
    <t>tháng</t>
  </si>
  <si>
    <t>Bessemer, Scaling to $100M (2024)</t>
  </si>
  <si>
    <t>★ NGÂN SÁCH CAC / khách</t>
  </si>
  <si>
    <t>ARPU × GM × số tháng payback</t>
  </si>
  <si>
    <t>→ ACV (giá trị hợp đồng / năm)</t>
  </si>
  <si>
    <t>B. SALES VIABILITY — một AE phải chốt bao nhiêu deal?</t>
  </si>
  <si>
    <t>Quota / AE / năm ($)</t>
  </si>
  <si>
    <t>Giả định gốc của Tunguz (2016) — thay bằng số thị trường bạn</t>
  </si>
  <si>
    <t>Số ngày làm việc / năm</t>
  </si>
  <si>
    <t>ngày</t>
  </si>
  <si>
    <t>→ Số deal / AE / năm</t>
  </si>
  <si>
    <t>★ Số deal / AE / NGÀY</t>
  </si>
  <si>
    <t>deal/ngày</t>
  </si>
  <si>
    <t>→ Kết luận Sales-Led</t>
  </si>
  <si>
    <t>C. ĐỐI CHIẾU CAC THỰC TẾ CỦA MOTION CÓ SALES</t>
  </si>
  <si>
    <t>Cost per opportunity ($)</t>
  </si>
  <si>
    <t>ICONIQ 2026 theo phân khúc: $6.300 · $8.000 · $11.200</t>
  </si>
  <si>
    <t>Win rate</t>
  </si>
  <si>
    <t>→ CAC thực tế ước tính / khách</t>
  </si>
  <si>
    <t>★ Lệch bao nhiêu lần so với ngân sách CAC?</t>
  </si>
  <si>
    <t>Đây là bằng chứng chọn kênh của bạn</t>
  </si>
  <si>
    <t>D. CHẤM ĐIỂM 3 KÊNH (1 = rất kém, 5 = rất tốt)</t>
  </si>
  <si>
    <t>Tiêu chí</t>
  </si>
  <si>
    <t>PLG</t>
  </si>
  <si>
    <t>Sales-Led</t>
  </si>
  <si>
    <t>Partner-Led</t>
  </si>
  <si>
    <t>1. Ngân sách CAC của tôi nuôi nổi kênh này</t>
  </si>
  <si>
    <t>2. Khách hàng mục tiêu thực sự mua theo cách này</t>
  </si>
  <si>
    <t>3. Đội hiện tại có năng lực chạy kênh này ngay</t>
  </si>
  <si>
    <t>4. Tôi tiếp cận được điểm nhúng / partner trong 30 ngày</t>
  </si>
  <si>
    <t>5. Kênh này đưa tôi đến ĐÚNG Pain Moment</t>
  </si>
  <si>
    <t>6. Tôi đo được hiệu quả trong vòng 90 ngày</t>
  </si>
  <si>
    <t>→ TỔNG ĐIỂM</t>
  </si>
  <si>
    <t>→ Kênh điểm cao nhất</t>
  </si>
  <si>
    <t>E. CHỐT KÊNH</t>
  </si>
  <si>
    <t>★ Kênh tôi chọn cho 90 ngày đầu</t>
  </si>
  <si>
    <t>ĐÚNG 1 kênh. Chọn 2 kênh trở lên bị trừ điểm.</t>
  </si>
  <si>
    <t>Nếu Partner-Led: TÊN CÔNG TY partner</t>
  </si>
  <si>
    <t>'Các nền tảng trong ngành' = chưa có kênh</t>
  </si>
  <si>
    <t>Đã nói chuyện với họ chưa? (Rồi / Chưa)</t>
  </si>
  <si>
    <t>Chưa</t>
  </si>
  <si>
    <t>Bạn mang lại giá trị gì cho partner?</t>
  </si>
  <si>
    <t>Nếu rơi vào vùng không khả thi — lối thoát nào?</t>
  </si>
  <si>
    <t>Giảm giá để tự phục vụ / tăng giá + service / Partner-Led</t>
  </si>
  <si>
    <t>TAB 5 — PAIN MOMENT · 90-DAY PLAN · EVIDENCE PACK</t>
  </si>
  <si>
    <t>Trạm 5 và Trạm 6.</t>
  </si>
  <si>
    <t>A. PAIN MOMENT — phải đủ 3 phần</t>
  </si>
  <si>
    <t>MẤY GIỜ khách đau nhất?</t>
  </si>
  <si>
    <t>Lúc đó họ ĐANG LÀM GÌ?</t>
  </si>
  <si>
    <t>Họ đang DÙNG APP / KÊNH NÀO?</t>
  </si>
  <si>
    <t>→ Điểm nhúng cụ thể của bạn</t>
  </si>
  <si>
    <t>Một bề mặt tích hợp có tên, không phải 'website của chúng tôi'</t>
  </si>
  <si>
    <t>B. 90-DAY PLAN</t>
  </si>
  <si>
    <t>THÁNG 1 — Học</t>
  </si>
  <si>
    <t>THÁNG 2–3 — Đòn bẩy</t>
  </si>
  <si>
    <t>THÁNG 4+ — Mở rộng</t>
  </si>
  <si>
    <t>Kênh sử dụng</t>
  </si>
  <si>
    <t>Mục tiêu số khách</t>
  </si>
  <si>
    <t>Việc cụ thể 1</t>
  </si>
  <si>
    <t>Việc cụ thể 2</t>
  </si>
  <si>
    <t>Việc cụ thể 3</t>
  </si>
  <si>
    <t>KPI đo được</t>
  </si>
  <si>
    <t>Người chịu trách nhiệm</t>
  </si>
  <si>
    <t>Tháng 1 là giai đoạn HỌC, không phải scale. Kế hoạch 'tháng 1 lấy 200 khách ở 5 ngành' là kế hoạch chưa ai từng thử làm.</t>
  </si>
  <si>
    <t>C. EVIDENCE PACK — 3 tài sản bán hàng</t>
  </si>
  <si>
    <t>Tài sản</t>
  </si>
  <si>
    <t>Đã có? (Rồi/Chưa)</t>
  </si>
  <si>
    <t>Nội dung 1 câu — hoặc việc cần làm</t>
  </si>
  <si>
    <t>Người phụ trách · Deadline</t>
  </si>
  <si>
    <t>1. Eval Results (Day 21–22)</t>
  </si>
  <si>
    <t>2. Risk Checklist (Day 24)</t>
  </si>
  <si>
    <t>3. Pilot Report</t>
  </si>
  <si>
    <t>Ô nào CHƯA CÓ thì ghi deadline — đừng bỏ trống. Thành thật về khoảng trống được điểm cao hơn bịa nội dung.</t>
  </si>
  <si>
    <t>D. BÀI TEST NGƯỜI LẠ — nhóm khác đọc One-Pager trong 2 phút</t>
  </si>
  <si>
    <t>Họ trả lời được: bán gì, cho ai, tính tiền theo đơn vị nào? (Được/Không)</t>
  </si>
  <si>
    <t>Họ trả lời được: có lãi trên mỗi đơn vị không, số nào chứng minh? (Được/Không)</t>
  </si>
  <si>
    <t>Họ trả lời được: tiếp cận khách qua đâu, vì sao kênh đó? (Được/Không)</t>
  </si>
  <si>
    <t>Số câu họ phải hỏi lại (mục tiêu ≤ 3)</t>
  </si>
  <si>
    <t>TAB 6 — BENCHMARKS (CHỈ ĐỌC)</t>
  </si>
  <si>
    <t>Giá chốt ngày 26/08/2026. Dòng có ⏳ là GIÁ KHUYẾN MẠI CÓ HẠN — phải kiểm tra lại.</t>
  </si>
  <si>
    <t>NGÀY BẠN KIỂM TRA LẠI GIÁ</t>
  </si>
  <si>
    <t>Bắt buộc điền — Rubric có chấm mục này</t>
  </si>
  <si>
    <t>Nhóm</t>
  </si>
  <si>
    <t>Mục</t>
  </si>
  <si>
    <t>Giá</t>
  </si>
  <si>
    <t>Đơn vị</t>
  </si>
  <si>
    <t>Nguồn</t>
  </si>
  <si>
    <t>Claude Opus 5 — input / output</t>
  </si>
  <si>
    <t>5,00 / 25,00</t>
  </si>
  <si>
    <t>$ / 1M token</t>
  </si>
  <si>
    <t>platform.claude.com/docs/en/about-claude/pricing</t>
  </si>
  <si>
    <t>Claude Sonnet 5 — input / output</t>
  </si>
  <si>
    <t>2,00 / 10,00</t>
  </si>
  <si>
    <t>Claude Haiku 4.5 — input / output</t>
  </si>
  <si>
    <t>1,00 / 5,00</t>
  </si>
  <si>
    <t>Claude — cache write 5' / cache read</t>
  </si>
  <si>
    <t>1,25× / 0,10× input</t>
  </si>
  <si>
    <t>hệ số</t>
  </si>
  <si>
    <t>⏳ OpenAI GPT-5.6 Sol — input / output</t>
  </si>
  <si>
    <t>4,00 / 20,00</t>
  </si>
  <si>
    <t>developers.openai.com/api/docs/pricing (KM 21/08–21/11/2026; list 5,00/30,00)</t>
  </si>
  <si>
    <t>OpenAI GPT-5.6 Luna — input / output</t>
  </si>
  <si>
    <t>0,20 / 1,20</t>
  </si>
  <si>
    <t>developers.openai.com/api/docs/pricing</t>
  </si>
  <si>
    <t>OpenAI — cached input / Batch API</t>
  </si>
  <si>
    <t>10% input / −50%</t>
  </si>
  <si>
    <t>Gemini 3.1 Pro — input / output (≤200k)</t>
  </si>
  <si>
    <t>2,00 / 12,00</t>
  </si>
  <si>
    <t>ai.google.dev/gemini-api/docs/pricing</t>
  </si>
  <si>
    <t>⏳ Gemini 3.7 Flash — input / output</t>
  </si>
  <si>
    <t>0,75 / 3,75</t>
  </si>
  <si>
    <t>ai.google.dev/gemini-api/docs/pricing (KM đến 31/12/2026; sau đó 1,50/7,50)</t>
  </si>
  <si>
    <t>STT</t>
  </si>
  <si>
    <t>Deepgram Nova-3 — pre-recorded</t>
  </si>
  <si>
    <t>0,0043</t>
  </si>
  <si>
    <t>$ / phút</t>
  </si>
  <si>
    <t>deepgram.com/pricing</t>
  </si>
  <si>
    <t>⏳ Deepgram Nova-3 — streaming</t>
  </si>
  <si>
    <t>list 0,0077 · KM 0,0048</t>
  </si>
  <si>
    <t>deepgram.com/pricing — đang khuyến mại, kiểm tra lại</t>
  </si>
  <si>
    <t>AssemblyAI Universal-2 — async</t>
  </si>
  <si>
    <t>0,0025</t>
  </si>
  <si>
    <t>assemblyai.com/pricing</t>
  </si>
  <si>
    <t>OpenAI gpt-4o-mini-transcribe</t>
  </si>
  <si>
    <t>0,0030</t>
  </si>
  <si>
    <t>TTS</t>
  </si>
  <si>
    <t>Google Cloud TTS — Standard</t>
  </si>
  <si>
    <t>4,00</t>
  </si>
  <si>
    <t>$ / 1M ký tự</t>
  </si>
  <si>
    <t>cloud.google.com/text-to-speech/pricing (rẻ nhất)</t>
  </si>
  <si>
    <t>OpenAI tts-1</t>
  </si>
  <si>
    <t>15,00</t>
  </si>
  <si>
    <t>ElevenLabs Flash / Turbo</t>
  </si>
  <si>
    <t>50,00</t>
  </si>
  <si>
    <t>elevenlabs.io/pricing/api</t>
  </si>
  <si>
    <t>ElevenLabs v3 / v2 Multilingual</t>
  </si>
  <si>
    <t>100,00</t>
  </si>
  <si>
    <t>Quy đổi</t>
  </si>
  <si>
    <t>Tốc độ nói</t>
  </si>
  <si>
    <t>≈ 900</t>
  </si>
  <si>
    <t>ký tự / phút</t>
  </si>
  <si>
    <t>≈150 từ/phút — dùng để đổi phút ↔ ký tự</t>
  </si>
  <si>
    <t>Lưu ý</t>
  </si>
  <si>
    <t>Google TTS — ký tự CJK</t>
  </si>
  <si>
    <t>tính là 1 ký tự</t>
  </si>
  <si>
    <t>—</t>
  </si>
  <si>
    <t>cloud.google.com/text-to-speech/pricing (KHÔNG phải ×2)</t>
  </si>
  <si>
    <t>Google STT — tính theo kênh</t>
  </si>
  <si>
    <t>4 kênh × 120s = 480s</t>
  </si>
  <si>
    <t>cloud.google.com/speech-to-text/pricing</t>
  </si>
  <si>
    <t>Streaming vs async STT</t>
  </si>
  <si>
    <t>1× đến ~5×</t>
  </si>
  <si>
    <t>Tuỳ nhà cung cấp — AssemblyAI 1,0× · Google ~5×. Đừng dùng hệ số chung</t>
  </si>
  <si>
    <t>Sản phẩm</t>
  </si>
  <si>
    <t>Intercom Fin — resolution</t>
  </si>
  <si>
    <t>0,99</t>
  </si>
  <si>
    <t>$ / outcome</t>
  </si>
  <si>
    <t>fin.ai/pricing</t>
  </si>
  <si>
    <t>Intercom Fin — qualification (sales)</t>
  </si>
  <si>
    <t>9,99</t>
  </si>
  <si>
    <t>Zendesk — automated resolution</t>
  </si>
  <si>
    <t>1,50</t>
  </si>
  <si>
    <t>$ / resolution</t>
  </si>
  <si>
    <t>zendesk.com/blog/ai/agentic-ai/outcome-based-pricing/ (blog, không trên trang giá)</t>
  </si>
  <si>
    <t>Salesforce Agentforce — Flex Credit</t>
  </si>
  <si>
    <t>0,005 (action = 0,10)</t>
  </si>
  <si>
    <t>$ / credit</t>
  </si>
  <si>
    <t>salesforce.com/agentforce/pricing</t>
  </si>
  <si>
    <t>Salesforce Agentforce — conversation</t>
  </si>
  <si>
    <t>2,00</t>
  </si>
  <si>
    <t>$ / conversation</t>
  </si>
  <si>
    <t>GitHub Copilot — AI Credit</t>
  </si>
  <si>
    <t>0,01</t>
  </si>
  <si>
    <t>docs.github.com/en/copilot/get-started/plans</t>
  </si>
  <si>
    <t>GitHub Copilot Business / Enterprise</t>
  </si>
  <si>
    <t>19 / 39</t>
  </si>
  <si>
    <t>$ / seat / tháng</t>
  </si>
  <si>
    <t>Notion — Business / credits</t>
  </si>
  <si>
    <t>20 / 10 per 1.000</t>
  </si>
  <si>
    <t>$ / member / tháng</t>
  </si>
  <si>
    <t>notion.com/pricing</t>
  </si>
  <si>
    <t>Benchmark</t>
  </si>
  <si>
    <t>Gross Margin AI-native 2026E</t>
  </si>
  <si>
    <t>≈ 53%</t>
  </si>
  <si>
    <t>%</t>
  </si>
  <si>
    <t>ICONIQ, 2026 State of AI: The Builder's Economy (07/2026)</t>
  </si>
  <si>
    <t>Gross Margin cloud (middle 50%)</t>
  </si>
  <si>
    <t>60 – 80%</t>
  </si>
  <si>
    <t>Bessemer, Scaling to $100 Million (2024)</t>
  </si>
  <si>
    <t>Vertical AI — GM / model cost</t>
  </si>
  <si>
    <t>≈65% / ≈10% doanh thu</t>
  </si>
  <si>
    <t>Bessemer, State of the Cloud 2024</t>
  </si>
  <si>
    <t>CAC payback SMB / Mid / Enterprise</t>
  </si>
  <si>
    <t>12 / 18 / 24</t>
  </si>
  <si>
    <t>LTV : CAC</t>
  </si>
  <si>
    <t>≥ 3×</t>
  </si>
  <si>
    <t>lần</t>
  </si>
  <si>
    <t>David Skok, SaaS Metrics 2.0 (cập nhật 06/2026)</t>
  </si>
  <si>
    <t>Cost per opportunity 2026 (theo phân khúc)</t>
  </si>
  <si>
    <t>6.300 · 8.000 · 11.200</t>
  </si>
  <si>
    <t>$</t>
  </si>
  <si>
    <t>ICONIQ, State of GTM 2026 (tr.22)</t>
  </si>
  <si>
    <t>ACV sàn cho inside sales</t>
  </si>
  <si>
    <t>≈ 3.000</t>
  </si>
  <si>
    <t>$ / năm</t>
  </si>
  <si>
    <t>Tomasz Tunguz (2016) — có kèm giả định để tính lại</t>
  </si>
  <si>
    <t>Lưu ý: trang marketing của nhà cung cấp có thể hiển thị giá cũ hơn trang docs. Ưu tiên trang docs / pricing chính thức.</t>
  </si>
  <si>
    <t>1 CV được tối ưu theo 1 JD và sinh viên tải về bản đã sửa</t>
  </si>
  <si>
    <t>A</t>
  </si>
  <si>
    <t>Rezi (Pro + expert review)</t>
  </si>
  <si>
    <t>Teal+ (AI resume)</t>
  </si>
  <si>
    <t>Hybrid (thuê bao + usage)</t>
  </si>
  <si>
    <t>Seat (theo thời gian)</t>
  </si>
  <si>
    <t>Pro $29/tháng; expert resume review từ $8/lượt; Lifetime $149</t>
  </si>
  <si>
    <t>$13/7 ngày · $29/30 ngày · $79/90 ngày</t>
  </si>
  <si>
    <t>https://www.rezi.ai/pricing</t>
  </si>
  <si>
    <t>https://www.tealhq.com/pricin</t>
  </si>
  <si>
    <t>Usage</t>
  </si>
  <si>
    <t>Không lệch: khớp gợi ý của model (USAGE an toàn: Attribution 5/10 &lt; 7, Autonomy 7/10 ≥ 7).</t>
  </si>
  <si>
    <t>Đơn vị tính tiền: 1 CV được tối ưu theo 1 JD và sinh viên tải bản đã sửa. Job bị bỏ dở hoặc AI báo không xử lý được thì không tính tiền. Nhu cầu sinh viên theo đợt (mùa nộp hồ sơ) nên trả theo lượt hợp hơn thuê bao dài hạn — Teal+ cũng có gói 7 ngày.</t>
  </si>
  <si>
    <t>Attribution 5/10 (đã định nghĩa job chặt nhưng chưa có eval/log) → chưa đủ bằng chứng để bán Outcome. Autonomy 7/10 (AI chạy trọn job, ngoài giờ, chỉ QA mẫu 5%) → Usage. Containment 70% là ước tính chưa test.</t>
  </si>
  <si>
    <t>Lỗ/mất an toàn khi: containment tụt dưới ~39% (GM &lt; 50%), hoặc chi phí LLM/job tăng ~2,1 lần (từ ~$0,13 lên ~$0,27: CV dài, nhiều vòng chỉnh), hoặc quá nhiều sinh viên chỉ dùng gói miễn phí mà không trả tiền.</t>
  </si>
  <si>
    <t>Không áp dụng</t>
  </si>
  <si>
    <t>Không áp dụng (chọn PLG)</t>
  </si>
  <si>
    <t>Giảm giá để tự phục vụ: $0,99/CV, sinh viên tự mua bằng thẻ/ví điện tử, không cần đội sales.</t>
  </si>
  <si>
    <t>21h–24h các ngày trong tuần, thường 1–2 ngày trước hạn nộp hồ sơ của một JD (GIẢ THUYẾT — cần xác minh bằng khảo sát nhóm).</t>
  </si>
  <si>
    <t>Đọc JD vừa tìm được và sửa CV cho khớp JD; không chắc CV đã đủ từ khóa/kinh nghiệm phù hợp.</t>
  </si>
  <si>
    <t>Đang mở trang tuyển dụng (TopCV / LinkedIn) trên trình duyệt, kèm file CV trong Google Docs / Word.</t>
  </si>
  <si>
    <t>Tiện ích trình duyệt (Chrome extension) CareerX: nút 'Tối ưu CV cho JD này' ngay trên trang JD của TopCV / LinkedIn. Tháng 1 (chưa có extension): dán link JD vào web app CareerX.</t>
  </si>
  <si>
    <t>PLG — mời trực tiếp, hỗ trợ từng sinh viên</t>
  </si>
  <si>
    <t>30 sinh viên (1 ngách: sinh viên năm cuối của 1 trường/khoa — [chọn ngách])</t>
  </si>
  <si>
    <t>PLG — landing page + giới thiệu bạn bè + tiện ích trình duyệt</t>
  </si>
  <si>
    <t>PLG ở ngách thứ 2; chỉ cân nhắc Partner-Led sau khi có số liệu</t>
  </si>
  <si>
    <t>300 sinh viên đăng ký, ≥30 sinh viên trả tiền (10%)</t>
  </si>
  <si>
    <t>1.000 sinh viên đăng ký ở ngách mới, chỉ khi ngách 1 đạt KPI</t>
  </si>
  <si>
    <t>Chạy eval 30 CV mẫu × 3 JD để đo containment thật</t>
  </si>
  <si>
    <t>Landing page + thanh toán (MoMo/VNPay/thẻ) + 3 CV miễn phí đầu tiên</t>
  </si>
  <si>
    <t>Chọn ngách tiếp theo dựa trên dữ liệu chuyển đổi theo ngành/trường</t>
  </si>
  <si>
    <t>Phỏng vấn 20 sinh viên: lúc sửa CV và mức sẵn lòng trả</t>
  </si>
  <si>
    <t>Chương trình giới thiệu bạn bè (tặng thêm 1 lượt CV)</t>
  </si>
  <si>
    <t>Thêm mock interview thành Job thứ hai, tính Cost/Job riêng (chat; giọng nói chỉ sau khi tính lại chi phí)</t>
  </si>
  <si>
    <t>Pilot 2 tuần với 15–30 sinh viên, ghi log từng job</t>
  </si>
  <si>
    <t>Làm tiện ích Chrome trên TopCV / LinkedIn</t>
  </si>
  <si>
    <t>Cân nhắc Partner-Led với 1 trường cụ thể (chưa liên hệ ai)</t>
  </si>
  <si>
    <t>≥100 job có log; containment đo thật (so với ước tính 70%); 20 buổi phỏng vấn xong</t>
  </si>
  <si>
    <t>Chuyển đổi miễn phí→trả tiền ≥10%; CAC ≤ $30/sinh viên trả tiền (ngân sách $69); GM ≥ 60%</t>
  </si>
  <si>
    <t>Ngách mới đạt chuyển đổi ≥10% với CAC ≤ ngân sách</t>
  </si>
  <si>
    <t>Quốc Bảo (GTM, phỏng vấn) · [tên thành viên dev] (eval, log)</t>
  </si>
  <si>
    <t>Quốc Bảo (kênh, giới thiệu) · [tên thành viên dev] (extension, thanh toán)</t>
  </si>
  <si>
    <t>Quốc Bảo — [tên người hỗ trợ nếu có]</t>
  </si>
  <si>
    <t>Cần làm: chạy bộ eval 30 CV mẫu × 3 JD, đo % CV đạt rubric (khớp JD, không bịa kinh nghiệm); dùng kết quả thay cho containment ước tính 70% ở Tab 1. Kết quả dự kiến: "Xử lý đúng ___%; ___% còn lại cần sinh viên tự chỉnh."</t>
  </si>
  <si>
    <t>Quốc Bảo + [tên thành viên dev] · 15/10/2026</t>
  </si>
  <si>
    <t>Cần làm: soạn 3 câu trả lời. Nháp: (1) Hallucinate? AI chỉ viết lại từ thông tin sinh viên cung cấp, sinh viên duyệt trước khi tải; (2) Data có dùng train model? Không dùng CV để huấn luyện — cần xác nhận với chính sách API; (3) Startup chết thì data ở đâu? Sinh viên có thể xuất/xóa dữ liệu — cần nhóm xác nhận.</t>
  </si>
  <si>
    <t>Quốc Bảo · trước buổi Day 24</t>
  </si>
  <si>
    <t>Cần làm: pilot 2 tuần với 15–30 sinh viên. Báo cáo: "2 tuần, ___ lượt, tỷ lệ thành công ___%, tiết kiệm ___."</t>
  </si>
  <si>
    <t>Quốc Bảo · bắt đầu 19/10/2026</t>
  </si>
  <si>
    <t>Sản phẩm CV</t>
  </si>
  <si>
    <t>Rezi — Pro / expert review</t>
  </si>
  <si>
    <t>29 / từ 8</t>
  </si>
  <si>
    <t>$ / tháng · $ / lượt</t>
  </si>
  <si>
    <t>rezi.ai/pricing</t>
  </si>
  <si>
    <t>Teal+ — 7 / 30 / 90 ngày</t>
  </si>
  <si>
    <t>13 / 29 / 79</t>
  </si>
  <si>
    <t>tealhq.com/pricing</t>
  </si>
  <si>
    <t>Kickresume — tháng / quý / năm</t>
  </si>
  <si>
    <t>24 / 18 / 8 (mỗi tháng)</t>
  </si>
  <si>
    <t>$ / tháng</t>
  </si>
  <si>
    <t>kickresume.com/en/pricing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</si>
</sst>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0"/>
    <numFmt numFmtId="166" formatCode="\$#,##0.0000"/>
    <numFmt numFmtId="167" formatCode="#,##0.0"/>
    <numFmt numFmtId="168" formatCode="#,##0&quot; ₫&quot;"/>
    <numFmt numFmtId="169" formatCode="\$#,##0"/>
    <numFmt numFmtId="170" formatCode="#,##0.0\×"/>
  </numFmts>
  <fonts count="13" x14ac:knownFonts="1">
    <font>
      <sz val="11"/>
      <color theme="1"/>
      <name val="Calibri"/>
      <family val="2"/>
      <charset val="1"/>
    </font>
    <font>
      <b/>
      <sz val="14"/>
      <color rgb="FFFFFFFF"/>
      <name val="Arial"/>
      <charset val="1"/>
    </font>
    <font>
      <i/>
      <sz val="9"/>
      <color rgb="FF666666"/>
      <name val="Arial"/>
      <charset val="1"/>
    </font>
    <font>
      <b/>
      <sz val="11"/>
      <color rgb="FF1F2937"/>
      <name val="Arial"/>
      <charset val="1"/>
    </font>
    <font>
      <sz val="10"/>
      <color rgb="FF0000FF"/>
      <name val="Arial"/>
      <charset val="1"/>
    </font>
    <font>
      <sz val="10"/>
      <name val="Arial"/>
      <charset val="1"/>
    </font>
    <font>
      <sz val="10"/>
      <color rgb="FF008000"/>
      <name val="Arial"/>
      <charset val="1"/>
    </font>
    <font>
      <b/>
      <sz val="10"/>
      <name val="Arial"/>
      <charset val="1"/>
    </font>
    <font>
      <b/>
      <sz val="11"/>
      <color rgb="FFC00000"/>
      <name val="Arial"/>
      <charset val="1"/>
    </font>
    <font>
      <sz val="10"/>
      <name val="Arial"/>
      <family val="2"/>
    </font>
    <font>
      <b/>
      <sz val="10"/>
      <color rgb="FFFFFFFF"/>
      <name val="Arial"/>
      <charset val="1"/>
    </font>
    <font>
      <sz val="10"/>
      <color rgb="FF0000FF"/>
      <name val="Arial"/>
      <family val="2"/>
    </font>
    <font>
      <u/>
      <sz val="11"/>
      <color theme="10"/>
      <name val="Calibri"/>
      <family val="2"/>
      <charset val="1"/>
    </font>
  </fonts>
  <fills count="7">
    <fill>
      <patternFill patternType="none"/>
    </fill>
    <fill>
      <patternFill patternType="gray125"/>
    </fill>
    <fill>
      <patternFill patternType="solid">
        <fgColor rgb="FF1F2937"/>
        <bgColor rgb="FF333300"/>
      </patternFill>
    </fill>
    <fill>
      <patternFill patternType="solid">
        <fgColor rgb="FFFFF2CC"/>
        <bgColor rgb="FFF2F2F2"/>
      </patternFill>
    </fill>
    <fill>
      <patternFill patternType="solid">
        <fgColor rgb="FFF2F2F2"/>
        <bgColor rgb="FFEDEDED"/>
      </patternFill>
    </fill>
    <fill>
      <patternFill patternType="solid">
        <fgColor rgb="FFEDEDED"/>
        <bgColor rgb="FFE8EAF6"/>
      </patternFill>
    </fill>
    <fill>
      <patternFill patternType="solid">
        <fgColor rgb="FFE8EAF6"/>
        <bgColor rgb="FFEDEDED"/>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2">
    <xf numFmtId="0" fontId="0" fillId="0" borderId="0"/>
    <xf numFmtId="0" fontId="12" fillId="0" borderId="0" applyNumberFormat="0" applyFill="0" applyBorder="0" applyAlignment="0" applyProtection="0"/>
  </cellStyleXfs>
  <cellXfs count="50">
    <xf numFmtId="0" fontId="0" fillId="0" borderId="0" xfId="0"/>
    <xf numFmtId="0" fontId="1" fillId="2" borderId="0" xfId="0" applyFont="1" applyFill="1"/>
    <xf numFmtId="0" fontId="0" fillId="2" borderId="0" xfId="0" applyFill="1"/>
    <xf numFmtId="0" fontId="2" fillId="0" borderId="0" xfId="0" applyFont="1"/>
    <xf numFmtId="0" fontId="3" fillId="0" borderId="0" xfId="0" applyFont="1"/>
    <xf numFmtId="0" fontId="4" fillId="3" borderId="1" xfId="0" applyFont="1" applyFill="1" applyBorder="1"/>
    <xf numFmtId="0" fontId="5" fillId="0" borderId="0" xfId="0" applyFont="1"/>
    <xf numFmtId="0" fontId="5" fillId="4" borderId="1" xfId="0" applyFont="1" applyFill="1" applyBorder="1"/>
    <xf numFmtId="0" fontId="6" fillId="0" borderId="1" xfId="0" applyFont="1" applyBorder="1"/>
    <xf numFmtId="0" fontId="5" fillId="5" borderId="1" xfId="0" applyFont="1" applyFill="1" applyBorder="1"/>
    <xf numFmtId="0" fontId="7" fillId="0" borderId="0" xfId="0" applyFont="1"/>
    <xf numFmtId="0" fontId="3" fillId="6" borderId="0" xfId="0" applyFont="1" applyFill="1"/>
    <xf numFmtId="0" fontId="0" fillId="6" borderId="0" xfId="0" applyFill="1"/>
    <xf numFmtId="0" fontId="4" fillId="3" borderId="1" xfId="0" applyFont="1" applyFill="1" applyBorder="1" applyAlignment="1">
      <alignment horizontal="center"/>
    </xf>
    <xf numFmtId="3" fontId="4" fillId="3" borderId="1" xfId="0" applyNumberFormat="1" applyFont="1" applyFill="1" applyBorder="1"/>
    <xf numFmtId="164" fontId="4" fillId="3" borderId="1" xfId="0" applyNumberFormat="1" applyFont="1" applyFill="1" applyBorder="1"/>
    <xf numFmtId="3" fontId="5" fillId="4" borderId="1" xfId="0" applyNumberFormat="1" applyFont="1" applyFill="1" applyBorder="1"/>
    <xf numFmtId="165" fontId="4" fillId="3" borderId="1" xfId="0" applyNumberFormat="1" applyFont="1" applyFill="1" applyBorder="1"/>
    <xf numFmtId="166" fontId="5" fillId="4" borderId="1" xfId="0" applyNumberFormat="1" applyFont="1" applyFill="1" applyBorder="1"/>
    <xf numFmtId="166" fontId="8" fillId="4" borderId="1" xfId="0" applyNumberFormat="1" applyFont="1" applyFill="1" applyBorder="1"/>
    <xf numFmtId="164" fontId="5" fillId="4" borderId="1" xfId="0" applyNumberFormat="1" applyFont="1" applyFill="1" applyBorder="1"/>
    <xf numFmtId="166" fontId="4" fillId="3" borderId="1" xfId="0" applyNumberFormat="1" applyFont="1" applyFill="1" applyBorder="1"/>
    <xf numFmtId="167" fontId="4" fillId="3" borderId="1" xfId="0" applyNumberFormat="1" applyFont="1" applyFill="1" applyBorder="1"/>
    <xf numFmtId="165" fontId="5" fillId="4" borderId="1" xfId="0" applyNumberFormat="1" applyFont="1" applyFill="1" applyBorder="1"/>
    <xf numFmtId="165" fontId="8" fillId="4" borderId="1" xfId="0" applyNumberFormat="1" applyFont="1" applyFill="1" applyBorder="1"/>
    <xf numFmtId="168" fontId="5" fillId="4" borderId="1" xfId="0" applyNumberFormat="1" applyFont="1" applyFill="1" applyBorder="1"/>
    <xf numFmtId="166" fontId="6" fillId="4" borderId="1" xfId="0" applyNumberFormat="1" applyFont="1" applyFill="1" applyBorder="1"/>
    <xf numFmtId="169" fontId="4" fillId="3" borderId="1" xfId="0" applyNumberFormat="1" applyFont="1" applyFill="1" applyBorder="1"/>
    <xf numFmtId="170" fontId="5" fillId="4" borderId="1" xfId="0" applyNumberFormat="1" applyFont="1" applyFill="1" applyBorder="1"/>
    <xf numFmtId="164" fontId="8" fillId="4" borderId="1" xfId="0" applyNumberFormat="1" applyFont="1" applyFill="1" applyBorder="1"/>
    <xf numFmtId="164" fontId="6" fillId="4" borderId="1" xfId="0" applyNumberFormat="1" applyFont="1" applyFill="1" applyBorder="1"/>
    <xf numFmtId="0" fontId="7" fillId="5" borderId="1" xfId="0" applyFont="1" applyFill="1" applyBorder="1"/>
    <xf numFmtId="164" fontId="5" fillId="5" borderId="1" xfId="0" applyNumberFormat="1" applyFont="1" applyFill="1" applyBorder="1"/>
    <xf numFmtId="3" fontId="8" fillId="4" borderId="1" xfId="0" applyNumberFormat="1" applyFont="1" applyFill="1" applyBorder="1"/>
    <xf numFmtId="0" fontId="8" fillId="4" borderId="1" xfId="0" applyFont="1" applyFill="1" applyBorder="1"/>
    <xf numFmtId="169" fontId="8" fillId="4" borderId="1" xfId="0" applyNumberFormat="1" applyFont="1" applyFill="1" applyBorder="1"/>
    <xf numFmtId="169" fontId="5" fillId="4" borderId="1" xfId="0" applyNumberFormat="1" applyFont="1" applyFill="1" applyBorder="1"/>
    <xf numFmtId="4" fontId="8" fillId="4" borderId="1" xfId="0" applyNumberFormat="1" applyFont="1" applyFill="1" applyBorder="1"/>
    <xf numFmtId="170" fontId="8" fillId="4" borderId="1" xfId="0" applyNumberFormat="1" applyFont="1" applyFill="1" applyBorder="1"/>
    <xf numFmtId="0" fontId="10" fillId="2" borderId="1" xfId="0" applyFont="1" applyFill="1" applyBorder="1"/>
    <xf numFmtId="0" fontId="5" fillId="5" borderId="1" xfId="0" applyFont="1" applyFill="1" applyBorder="1" applyAlignment="1">
      <alignment vertical="top"/>
    </xf>
    <xf numFmtId="0" fontId="2" fillId="5" borderId="1" xfId="0" applyFont="1" applyFill="1" applyBorder="1" applyAlignment="1">
      <alignment vertical="top" wrapText="1"/>
    </xf>
    <xf numFmtId="0" fontId="11" fillId="3" borderId="1" xfId="0" applyFont="1" applyFill="1" applyBorder="1"/>
    <xf numFmtId="0" fontId="11" fillId="3" borderId="1" xfId="0" applyFont="1" applyFill="1" applyBorder="1" applyAlignment="1">
      <alignment wrapText="1"/>
    </xf>
    <xf numFmtId="0" fontId="12" fillId="3" borderId="1" xfId="1" applyFill="1" applyBorder="1"/>
    <xf numFmtId="0" fontId="11" fillId="3" borderId="1" xfId="0" applyFont="1" applyFill="1" applyBorder="1" applyAlignment="1">
      <alignment vertical="top" wrapText="1"/>
    </xf>
    <xf numFmtId="14" fontId="4" fillId="3" borderId="1" xfId="0" applyNumberFormat="1" applyFont="1" applyFill="1" applyBorder="1"/>
    <xf numFmtId="0" fontId="11" fillId="3" borderId="1" xfId="0" applyFont="1" applyFill="1" applyBorder="1" applyAlignment="1">
      <alignment vertical="top" wrapText="1"/>
    </xf>
    <xf numFmtId="0" fontId="11" fillId="3" borderId="1" xfId="0" applyFont="1" applyFill="1" applyBorder="1" applyAlignment="1">
      <alignment vertical="top" wrapText="1"/>
    </xf>
    <xf numFmtId="0" fontId="9" fillId="0" borderId="0" xfId="0" applyFont="1" applyAlignment="1">
      <alignment vertical="top" wrapText="1"/>
    </xf>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E8EAF6"/>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F2F2F2"/>
      <rgbColor rgb="FFEDEDED"/>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1F293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hyperlink" Target="https://www.tealhq.com/pricin" TargetMode="External"/><Relationship Id="rId1" Type="http://schemas.openxmlformats.org/officeDocument/2006/relationships/hyperlink" Target="https://www.rezi.ai/pric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4"/>
  <sheetViews>
    <sheetView zoomScaleNormal="100" workbookViewId="0"/>
  </sheetViews>
  <sheetFormatPr defaultColWidth="8.6640625" defaultRowHeight="14.25" x14ac:dyDescent="0.45"/>
  <cols>
    <col min="1" max="1" width="52" customWidth="1"/>
    <col min="2" max="2" width="62" customWidth="1"/>
    <col min="3" max="8" width="15" customWidth="1"/>
  </cols>
  <sheetData>
    <row r="1" spans="1:8" ht="24" customHeight="1" x14ac:dyDescent="0.5">
      <c r="A1" s="1" t="s">
        <v>0</v>
      </c>
      <c r="B1" s="2"/>
      <c r="C1" s="2"/>
      <c r="D1" s="2"/>
      <c r="E1" s="2"/>
      <c r="F1" s="2"/>
      <c r="G1" s="2"/>
      <c r="H1" s="2"/>
    </row>
    <row r="2" spans="1:8" x14ac:dyDescent="0.45">
      <c r="A2" s="3" t="s">
        <v>1</v>
      </c>
    </row>
    <row r="4" spans="1:8" x14ac:dyDescent="0.45">
      <c r="A4" s="4" t="s">
        <v>2</v>
      </c>
    </row>
    <row r="5" spans="1:8" x14ac:dyDescent="0.45">
      <c r="A5" s="5" t="s">
        <v>3</v>
      </c>
      <c r="B5" s="6" t="s">
        <v>4</v>
      </c>
    </row>
    <row r="6" spans="1:8" x14ac:dyDescent="0.45">
      <c r="A6" s="7" t="s">
        <v>5</v>
      </c>
      <c r="B6" s="6" t="s">
        <v>6</v>
      </c>
    </row>
    <row r="7" spans="1:8" x14ac:dyDescent="0.45">
      <c r="A7" s="8" t="s">
        <v>7</v>
      </c>
      <c r="B7" s="6" t="s">
        <v>8</v>
      </c>
    </row>
    <row r="8" spans="1:8" x14ac:dyDescent="0.45">
      <c r="A8" s="9" t="s">
        <v>9</v>
      </c>
      <c r="B8" s="6" t="s">
        <v>10</v>
      </c>
    </row>
    <row r="10" spans="1:8" x14ac:dyDescent="0.45">
      <c r="A10" s="4" t="s">
        <v>11</v>
      </c>
    </row>
    <row r="11" spans="1:8" x14ac:dyDescent="0.45">
      <c r="A11" s="10" t="s">
        <v>12</v>
      </c>
      <c r="B11" s="6" t="s">
        <v>13</v>
      </c>
    </row>
    <row r="12" spans="1:8" x14ac:dyDescent="0.45">
      <c r="A12" s="10" t="s">
        <v>14</v>
      </c>
      <c r="B12" s="6" t="s">
        <v>15</v>
      </c>
    </row>
    <row r="13" spans="1:8" x14ac:dyDescent="0.45">
      <c r="A13" s="10" t="s">
        <v>16</v>
      </c>
      <c r="B13" s="6" t="s">
        <v>17</v>
      </c>
    </row>
    <row r="14" spans="1:8" x14ac:dyDescent="0.45">
      <c r="A14" s="10" t="s">
        <v>18</v>
      </c>
      <c r="B14" s="6" t="s">
        <v>19</v>
      </c>
    </row>
    <row r="15" spans="1:8" x14ac:dyDescent="0.45">
      <c r="A15" s="10" t="s">
        <v>20</v>
      </c>
      <c r="B15" s="6" t="s">
        <v>21</v>
      </c>
    </row>
    <row r="16" spans="1:8" x14ac:dyDescent="0.45">
      <c r="A16" s="10" t="s">
        <v>22</v>
      </c>
      <c r="B16" s="6" t="s">
        <v>23</v>
      </c>
    </row>
    <row r="18" spans="1:1" x14ac:dyDescent="0.45">
      <c r="A18" s="4" t="s">
        <v>24</v>
      </c>
    </row>
    <row r="19" spans="1:1" x14ac:dyDescent="0.45">
      <c r="A19" s="6" t="s">
        <v>25</v>
      </c>
    </row>
    <row r="20" spans="1:1" x14ac:dyDescent="0.45">
      <c r="A20" s="6" t="s">
        <v>26</v>
      </c>
    </row>
    <row r="21" spans="1:1" x14ac:dyDescent="0.45">
      <c r="A21" s="6" t="s">
        <v>27</v>
      </c>
    </row>
    <row r="23" spans="1:1" x14ac:dyDescent="0.45">
      <c r="A23" s="3" t="s">
        <v>28</v>
      </c>
    </row>
    <row r="24" spans="1:1" x14ac:dyDescent="0.45">
      <c r="A24" s="3" t="s">
        <v>29</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8"/>
  <sheetViews>
    <sheetView topLeftCell="A45" zoomScale="130" zoomScaleNormal="130" workbookViewId="0">
      <selection activeCell="B69" sqref="B69"/>
    </sheetView>
  </sheetViews>
  <sheetFormatPr defaultColWidth="8.6640625" defaultRowHeight="14.25" x14ac:dyDescent="0.45"/>
  <cols>
    <col min="1" max="1" width="46" customWidth="1"/>
    <col min="2" max="3" width="16" customWidth="1"/>
    <col min="4" max="4" width="52" customWidth="1"/>
    <col min="5" max="8" width="15" customWidth="1"/>
  </cols>
  <sheetData>
    <row r="1" spans="1:8" ht="24" customHeight="1" x14ac:dyDescent="0.5">
      <c r="A1" s="1" t="s">
        <v>30</v>
      </c>
      <c r="B1" s="2"/>
      <c r="C1" s="2"/>
      <c r="D1" s="2"/>
      <c r="E1" s="2"/>
      <c r="F1" s="2"/>
      <c r="G1" s="2"/>
      <c r="H1" s="2"/>
    </row>
    <row r="2" spans="1:8" x14ac:dyDescent="0.45">
      <c r="A2" s="3" t="s">
        <v>31</v>
      </c>
    </row>
    <row r="4" spans="1:8" x14ac:dyDescent="0.45">
      <c r="A4" s="11" t="s">
        <v>32</v>
      </c>
      <c r="B4" s="12"/>
      <c r="C4" s="12"/>
      <c r="D4" s="12"/>
      <c r="E4" s="12"/>
      <c r="F4" s="12"/>
      <c r="G4" s="12"/>
      <c r="H4" s="12"/>
    </row>
    <row r="5" spans="1:8" x14ac:dyDescent="0.45">
      <c r="A5" s="6" t="s">
        <v>33</v>
      </c>
      <c r="B5" s="5" t="s">
        <v>421</v>
      </c>
      <c r="D5" s="3" t="s">
        <v>34</v>
      </c>
    </row>
    <row r="6" spans="1:8" x14ac:dyDescent="0.45">
      <c r="A6" s="6" t="s">
        <v>35</v>
      </c>
      <c r="B6" s="13" t="s">
        <v>422</v>
      </c>
      <c r="D6" s="3" t="s">
        <v>36</v>
      </c>
    </row>
    <row r="8" spans="1:8" x14ac:dyDescent="0.45">
      <c r="A8" s="11" t="s">
        <v>37</v>
      </c>
      <c r="B8" s="12"/>
      <c r="C8" s="12"/>
      <c r="D8" s="12"/>
      <c r="E8" s="12"/>
      <c r="F8" s="12"/>
      <c r="G8" s="12"/>
      <c r="H8" s="12"/>
    </row>
    <row r="9" spans="1:8" x14ac:dyDescent="0.45">
      <c r="A9" s="6" t="s">
        <v>38</v>
      </c>
      <c r="B9" s="14">
        <v>1000</v>
      </c>
      <c r="C9" s="3" t="s">
        <v>39</v>
      </c>
    </row>
    <row r="10" spans="1:8" x14ac:dyDescent="0.45">
      <c r="A10" s="6" t="s">
        <v>40</v>
      </c>
      <c r="B10" s="15">
        <v>0.7</v>
      </c>
      <c r="D10" s="3" t="s">
        <v>41</v>
      </c>
    </row>
    <row r="11" spans="1:8" x14ac:dyDescent="0.45">
      <c r="A11" s="6" t="s">
        <v>42</v>
      </c>
      <c r="B11" s="16">
        <f>B9*B10</f>
        <v>700</v>
      </c>
      <c r="C11" s="3" t="s">
        <v>39</v>
      </c>
      <c r="D11" s="3" t="s">
        <v>43</v>
      </c>
    </row>
    <row r="12" spans="1:8" x14ac:dyDescent="0.45">
      <c r="A12" s="6" t="s">
        <v>44</v>
      </c>
      <c r="B12" s="16">
        <f>B9-B11</f>
        <v>300</v>
      </c>
      <c r="C12" s="3" t="s">
        <v>39</v>
      </c>
      <c r="D12" s="3" t="s">
        <v>45</v>
      </c>
    </row>
    <row r="14" spans="1:8" x14ac:dyDescent="0.45">
      <c r="A14" s="11" t="s">
        <v>46</v>
      </c>
      <c r="B14" s="12"/>
      <c r="C14" s="12"/>
      <c r="D14" s="12"/>
      <c r="E14" s="12"/>
      <c r="F14" s="12"/>
      <c r="G14" s="12"/>
      <c r="H14" s="12"/>
    </row>
    <row r="15" spans="1:8" x14ac:dyDescent="0.45">
      <c r="A15" s="6" t="s">
        <v>47</v>
      </c>
      <c r="B15" s="17">
        <v>2</v>
      </c>
      <c r="D15" s="3" t="s">
        <v>48</v>
      </c>
    </row>
    <row r="16" spans="1:8" x14ac:dyDescent="0.45">
      <c r="A16" s="6" t="s">
        <v>49</v>
      </c>
      <c r="B16" s="17">
        <v>10</v>
      </c>
    </row>
    <row r="17" spans="1:4" x14ac:dyDescent="0.45">
      <c r="A17" s="6" t="s">
        <v>50</v>
      </c>
      <c r="B17" s="17">
        <v>2.5</v>
      </c>
      <c r="D17" s="3" t="s">
        <v>51</v>
      </c>
    </row>
    <row r="18" spans="1:4" x14ac:dyDescent="0.45">
      <c r="A18" s="6" t="s">
        <v>52</v>
      </c>
      <c r="B18" s="17">
        <v>0.1</v>
      </c>
      <c r="D18" s="3" t="s">
        <v>53</v>
      </c>
    </row>
    <row r="19" spans="1:4" x14ac:dyDescent="0.45">
      <c r="A19" s="6" t="s">
        <v>54</v>
      </c>
      <c r="B19" s="14">
        <v>5</v>
      </c>
      <c r="C19" s="3" t="s">
        <v>55</v>
      </c>
    </row>
    <row r="20" spans="1:4" x14ac:dyDescent="0.45">
      <c r="A20" s="6" t="s">
        <v>56</v>
      </c>
      <c r="B20" s="14">
        <v>4000</v>
      </c>
      <c r="C20" s="3" t="s">
        <v>57</v>
      </c>
      <c r="D20" s="3" t="s">
        <v>58</v>
      </c>
    </row>
    <row r="21" spans="1:4" x14ac:dyDescent="0.45">
      <c r="A21" s="6" t="s">
        <v>59</v>
      </c>
      <c r="B21" s="14">
        <v>4500</v>
      </c>
      <c r="C21" s="3" t="s">
        <v>57</v>
      </c>
      <c r="D21" s="3" t="s">
        <v>60</v>
      </c>
    </row>
    <row r="22" spans="1:4" x14ac:dyDescent="0.45">
      <c r="A22" s="6" t="s">
        <v>61</v>
      </c>
      <c r="B22" s="14">
        <v>1500</v>
      </c>
      <c r="C22" s="3" t="s">
        <v>57</v>
      </c>
    </row>
    <row r="23" spans="1:4" x14ac:dyDescent="0.45">
      <c r="A23" s="6" t="s">
        <v>62</v>
      </c>
      <c r="B23" s="18">
        <f>B20*B17/1000000</f>
        <v>0.01</v>
      </c>
    </row>
    <row r="24" spans="1:4" x14ac:dyDescent="0.45">
      <c r="A24" s="6" t="s">
        <v>63</v>
      </c>
      <c r="B24" s="18">
        <f>(B19-1)*B20*B18/1000000</f>
        <v>1.6000000000000001E-3</v>
      </c>
    </row>
    <row r="25" spans="1:4" x14ac:dyDescent="0.45">
      <c r="A25" s="6" t="s">
        <v>64</v>
      </c>
      <c r="B25" s="18">
        <f>B19*B21*B15/1000000</f>
        <v>4.4999999999999998E-2</v>
      </c>
    </row>
    <row r="26" spans="1:4" x14ac:dyDescent="0.45">
      <c r="A26" s="6" t="s">
        <v>65</v>
      </c>
      <c r="B26" s="18">
        <f>B19*B22*B16/1000000</f>
        <v>7.4999999999999997E-2</v>
      </c>
    </row>
    <row r="27" spans="1:4" x14ac:dyDescent="0.45">
      <c r="A27" s="10" t="s">
        <v>66</v>
      </c>
      <c r="B27" s="19">
        <f>SUM(B23:B26)</f>
        <v>0.13159999999999999</v>
      </c>
    </row>
    <row r="28" spans="1:4" x14ac:dyDescent="0.45">
      <c r="A28" s="6" t="s">
        <v>67</v>
      </c>
      <c r="B28" s="18">
        <f>B19*(B20+B21)*B15/1000000+B26</f>
        <v>0.16</v>
      </c>
    </row>
    <row r="29" spans="1:4" x14ac:dyDescent="0.45">
      <c r="A29" s="6" t="s">
        <v>68</v>
      </c>
      <c r="B29" s="20">
        <f>IF(B28=0,0,1-B27/B28)</f>
        <v>0.1775000000000001</v>
      </c>
      <c r="D29" s="3" t="s">
        <v>69</v>
      </c>
    </row>
    <row r="30" spans="1:4" x14ac:dyDescent="0.45">
      <c r="A30" s="6" t="s">
        <v>70</v>
      </c>
      <c r="B30" s="14">
        <v>0</v>
      </c>
      <c r="D30" s="3" t="s">
        <v>71</v>
      </c>
    </row>
    <row r="31" spans="1:4" x14ac:dyDescent="0.45">
      <c r="A31" s="10" t="s">
        <v>72</v>
      </c>
      <c r="B31" s="19">
        <f>B27*(1-B30*0.5)</f>
        <v>0.13159999999999999</v>
      </c>
    </row>
    <row r="33" spans="1:8" x14ac:dyDescent="0.45">
      <c r="A33" s="11" t="s">
        <v>73</v>
      </c>
      <c r="B33" s="12"/>
      <c r="C33" s="12"/>
      <c r="D33" s="12"/>
      <c r="E33" s="12"/>
      <c r="F33" s="12"/>
      <c r="G33" s="12"/>
      <c r="H33" s="12"/>
    </row>
    <row r="34" spans="1:8" x14ac:dyDescent="0.45">
      <c r="A34" s="6" t="s">
        <v>74</v>
      </c>
      <c r="B34" s="21">
        <v>0</v>
      </c>
      <c r="D34" s="3" t="s">
        <v>75</v>
      </c>
    </row>
    <row r="35" spans="1:8" x14ac:dyDescent="0.45">
      <c r="A35" s="6" t="s">
        <v>76</v>
      </c>
      <c r="B35" s="22">
        <v>0</v>
      </c>
      <c r="C35" s="3" t="s">
        <v>77</v>
      </c>
    </row>
    <row r="36" spans="1:8" x14ac:dyDescent="0.45">
      <c r="A36" s="6" t="s">
        <v>78</v>
      </c>
      <c r="B36" s="17">
        <v>0</v>
      </c>
      <c r="D36" s="3" t="s">
        <v>79</v>
      </c>
    </row>
    <row r="37" spans="1:8" x14ac:dyDescent="0.45">
      <c r="A37" s="6" t="s">
        <v>80</v>
      </c>
      <c r="B37" s="14">
        <v>0</v>
      </c>
      <c r="C37" s="3" t="s">
        <v>81</v>
      </c>
      <c r="D37" s="3" t="s">
        <v>82</v>
      </c>
    </row>
    <row r="38" spans="1:8" x14ac:dyDescent="0.45">
      <c r="A38" s="6" t="s">
        <v>83</v>
      </c>
      <c r="B38" s="18">
        <f>B34*B35+B36*B37/1000000</f>
        <v>0</v>
      </c>
    </row>
    <row r="40" spans="1:8" x14ac:dyDescent="0.45">
      <c r="A40" s="11" t="s">
        <v>84</v>
      </c>
      <c r="B40" s="12"/>
      <c r="C40" s="12"/>
      <c r="D40" s="12"/>
      <c r="E40" s="12"/>
      <c r="F40" s="12"/>
      <c r="G40" s="12"/>
      <c r="H40" s="12"/>
    </row>
    <row r="41" spans="1:8" x14ac:dyDescent="0.45">
      <c r="A41" s="6" t="s">
        <v>85</v>
      </c>
      <c r="B41" s="21">
        <v>3.5000000000000003E-2</v>
      </c>
      <c r="D41" s="3" t="s">
        <v>86</v>
      </c>
    </row>
    <row r="42" spans="1:8" x14ac:dyDescent="0.45">
      <c r="A42" s="6" t="s">
        <v>87</v>
      </c>
      <c r="B42" s="21">
        <v>0</v>
      </c>
    </row>
    <row r="43" spans="1:8" x14ac:dyDescent="0.45">
      <c r="A43" s="6" t="s">
        <v>88</v>
      </c>
      <c r="B43" s="18">
        <f>B41+B42*B35</f>
        <v>3.5000000000000003E-2</v>
      </c>
    </row>
    <row r="45" spans="1:8" x14ac:dyDescent="0.45">
      <c r="A45" s="11" t="s">
        <v>89</v>
      </c>
      <c r="B45" s="12"/>
      <c r="C45" s="12"/>
      <c r="D45" s="12"/>
      <c r="E45" s="12"/>
      <c r="F45" s="12"/>
      <c r="G45" s="12"/>
      <c r="H45" s="12"/>
    </row>
    <row r="46" spans="1:8" x14ac:dyDescent="0.45">
      <c r="A46" s="6" t="s">
        <v>90</v>
      </c>
      <c r="B46" s="15">
        <v>0.08</v>
      </c>
      <c r="D46" s="3" t="s">
        <v>91</v>
      </c>
    </row>
    <row r="47" spans="1:8" x14ac:dyDescent="0.45">
      <c r="A47" s="6" t="s">
        <v>92</v>
      </c>
      <c r="B47" s="18">
        <f>(B31+B38)*B46</f>
        <v>1.0527999999999999E-2</v>
      </c>
    </row>
    <row r="49" spans="1:8" x14ac:dyDescent="0.45">
      <c r="A49" s="11" t="s">
        <v>93</v>
      </c>
      <c r="B49" s="12"/>
      <c r="C49" s="12"/>
      <c r="D49" s="12"/>
      <c r="E49" s="12"/>
      <c r="F49" s="12"/>
      <c r="G49" s="12"/>
      <c r="H49" s="12"/>
    </row>
    <row r="50" spans="1:8" x14ac:dyDescent="0.45">
      <c r="A50" s="6" t="s">
        <v>94</v>
      </c>
      <c r="B50" s="17">
        <v>9</v>
      </c>
      <c r="D50" s="3" t="s">
        <v>95</v>
      </c>
    </row>
    <row r="51" spans="1:8" x14ac:dyDescent="0.45">
      <c r="A51" s="6" t="s">
        <v>96</v>
      </c>
      <c r="B51" s="15">
        <v>0.05</v>
      </c>
      <c r="D51" s="3" t="s">
        <v>97</v>
      </c>
    </row>
    <row r="52" spans="1:8" x14ac:dyDescent="0.45">
      <c r="A52" s="6" t="s">
        <v>98</v>
      </c>
      <c r="B52" s="22">
        <v>2</v>
      </c>
      <c r="C52" s="3" t="s">
        <v>77</v>
      </c>
    </row>
    <row r="53" spans="1:8" x14ac:dyDescent="0.45">
      <c r="A53" s="6" t="s">
        <v>99</v>
      </c>
      <c r="B53" s="22">
        <v>6</v>
      </c>
      <c r="C53" s="3" t="s">
        <v>77</v>
      </c>
    </row>
    <row r="54" spans="1:8" x14ac:dyDescent="0.45">
      <c r="A54" s="6" t="s">
        <v>100</v>
      </c>
      <c r="B54" s="23">
        <f>B9*B51*(B52/60)*B50</f>
        <v>15</v>
      </c>
    </row>
    <row r="55" spans="1:8" x14ac:dyDescent="0.45">
      <c r="A55" s="6" t="s">
        <v>101</v>
      </c>
      <c r="B55" s="23">
        <f>IF(B6="B",B12*(B53/60)*B50,0)</f>
        <v>0</v>
      </c>
      <c r="D55" s="3" t="s">
        <v>102</v>
      </c>
    </row>
    <row r="56" spans="1:8" x14ac:dyDescent="0.45">
      <c r="A56" s="10" t="s">
        <v>103</v>
      </c>
      <c r="B56" s="24">
        <f>B54+B55</f>
        <v>15</v>
      </c>
    </row>
    <row r="58" spans="1:8" x14ac:dyDescent="0.45">
      <c r="A58" s="11" t="s">
        <v>104</v>
      </c>
      <c r="B58" s="12"/>
      <c r="C58" s="12"/>
      <c r="D58" s="12"/>
      <c r="E58" s="12"/>
      <c r="F58" s="12"/>
      <c r="G58" s="12"/>
      <c r="H58" s="12"/>
    </row>
    <row r="59" spans="1:8" x14ac:dyDescent="0.45">
      <c r="A59" s="6" t="s">
        <v>105</v>
      </c>
      <c r="B59" s="17">
        <v>0</v>
      </c>
      <c r="D59" s="3" t="s">
        <v>106</v>
      </c>
    </row>
    <row r="61" spans="1:8" x14ac:dyDescent="0.45">
      <c r="A61" s="11" t="s">
        <v>107</v>
      </c>
      <c r="B61" s="12"/>
      <c r="C61" s="12"/>
      <c r="D61" s="12"/>
      <c r="E61" s="12"/>
      <c r="F61" s="12"/>
      <c r="G61" s="12"/>
      <c r="H61" s="12"/>
    </row>
    <row r="62" spans="1:8" x14ac:dyDescent="0.45">
      <c r="A62" s="6" t="s">
        <v>108</v>
      </c>
      <c r="B62" s="23">
        <f>B9*(B31+B38+B43+B47)</f>
        <v>177.12800000000001</v>
      </c>
    </row>
    <row r="63" spans="1:8" x14ac:dyDescent="0.45">
      <c r="A63" s="6" t="s">
        <v>109</v>
      </c>
      <c r="B63" s="23">
        <f>B56</f>
        <v>15</v>
      </c>
    </row>
    <row r="64" spans="1:8" x14ac:dyDescent="0.45">
      <c r="A64" s="6" t="s">
        <v>110</v>
      </c>
      <c r="B64" s="23">
        <f>B59</f>
        <v>0</v>
      </c>
    </row>
    <row r="65" spans="1:8" x14ac:dyDescent="0.45">
      <c r="A65" s="6" t="s">
        <v>111</v>
      </c>
      <c r="B65" s="23">
        <f>B62+B63+B64</f>
        <v>192.12800000000001</v>
      </c>
    </row>
    <row r="66" spans="1:8" x14ac:dyDescent="0.45">
      <c r="A66" s="10" t="s">
        <v>112</v>
      </c>
      <c r="B66" s="19">
        <f>IF(B11=0,0,(B62+B63)/B11)</f>
        <v>0.27446857142857145</v>
      </c>
      <c r="C66" s="3" t="s">
        <v>113</v>
      </c>
      <c r="D66" s="3" t="s">
        <v>114</v>
      </c>
    </row>
    <row r="67" spans="1:8" x14ac:dyDescent="0.45">
      <c r="A67" s="10" t="s">
        <v>115</v>
      </c>
      <c r="B67" s="19">
        <f>IF(B11=0,0,B65/B11)</f>
        <v>0.27446857142857145</v>
      </c>
      <c r="C67" s="3" t="s">
        <v>113</v>
      </c>
    </row>
    <row r="68" spans="1:8" x14ac:dyDescent="0.45">
      <c r="A68" s="6" t="s">
        <v>116</v>
      </c>
      <c r="B68" s="14">
        <v>26170</v>
      </c>
      <c r="C68" s="3" t="s">
        <v>117</v>
      </c>
      <c r="D68" s="3" t="s">
        <v>118</v>
      </c>
    </row>
    <row r="69" spans="1:8" x14ac:dyDescent="0.45">
      <c r="A69" s="6" t="s">
        <v>119</v>
      </c>
      <c r="B69" s="25">
        <f>B66*B68</f>
        <v>7182.842514285715</v>
      </c>
      <c r="C69" s="3" t="s">
        <v>120</v>
      </c>
    </row>
    <row r="71" spans="1:8" x14ac:dyDescent="0.45">
      <c r="A71" s="11" t="s">
        <v>121</v>
      </c>
      <c r="B71" s="12"/>
      <c r="C71" s="12"/>
      <c r="D71" s="12"/>
      <c r="E71" s="12"/>
      <c r="F71" s="12"/>
      <c r="G71" s="12"/>
      <c r="H71" s="12"/>
    </row>
    <row r="72" spans="1:8" x14ac:dyDescent="0.45">
      <c r="A72" s="6" t="s">
        <v>122</v>
      </c>
      <c r="B72" s="23">
        <f>B9*B31</f>
        <v>131.6</v>
      </c>
      <c r="C72" s="20">
        <f t="shared" ref="C72:C77" si="0">IF($B$65=0,0,B72/$B$65)</f>
        <v>0.68496002664890066</v>
      </c>
    </row>
    <row r="73" spans="1:8" x14ac:dyDescent="0.45">
      <c r="A73" s="6" t="s">
        <v>123</v>
      </c>
      <c r="B73" s="23">
        <f>B9*B38</f>
        <v>0</v>
      </c>
      <c r="C73" s="20">
        <f t="shared" si="0"/>
        <v>0</v>
      </c>
    </row>
    <row r="74" spans="1:8" x14ac:dyDescent="0.45">
      <c r="A74" s="6" t="s">
        <v>124</v>
      </c>
      <c r="B74" s="23">
        <f>B9*B43</f>
        <v>35</v>
      </c>
      <c r="C74" s="20">
        <f t="shared" si="0"/>
        <v>0.18217021985343104</v>
      </c>
    </row>
    <row r="75" spans="1:8" x14ac:dyDescent="0.45">
      <c r="A75" s="6" t="s">
        <v>125</v>
      </c>
      <c r="B75" s="23">
        <f>B9*B47</f>
        <v>10.527999999999999</v>
      </c>
      <c r="C75" s="20">
        <f t="shared" si="0"/>
        <v>5.4796802131912049E-2</v>
      </c>
    </row>
    <row r="76" spans="1:8" x14ac:dyDescent="0.45">
      <c r="A76" s="6" t="s">
        <v>126</v>
      </c>
      <c r="B76" s="23">
        <f>B56</f>
        <v>15</v>
      </c>
      <c r="C76" s="20">
        <f t="shared" si="0"/>
        <v>7.8072951365756163E-2</v>
      </c>
    </row>
    <row r="77" spans="1:8" x14ac:dyDescent="0.45">
      <c r="A77" s="6" t="s">
        <v>127</v>
      </c>
      <c r="B77" s="23">
        <f>B59</f>
        <v>0</v>
      </c>
      <c r="C77" s="20">
        <f t="shared" si="0"/>
        <v>0</v>
      </c>
    </row>
    <row r="78" spans="1:8" x14ac:dyDescent="0.45">
      <c r="A78" s="3" t="s">
        <v>128</v>
      </c>
    </row>
  </sheetData>
  <dataValidations count="1">
    <dataValidation type="list" sqref="B6" xr:uid="{00000000-0002-0000-0100-000000000000}">
      <formula1>"A,B"</formula1>
      <formula2>0</formula2>
    </dataValidation>
  </dataValidations>
  <pageMargins left="0.75" right="0.75" top="1" bottom="1"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53"/>
  <sheetViews>
    <sheetView topLeftCell="A9" zoomScaleNormal="100" workbookViewId="0">
      <selection activeCell="B15" sqref="B15"/>
    </sheetView>
  </sheetViews>
  <sheetFormatPr defaultColWidth="8.6640625" defaultRowHeight="14.25" x14ac:dyDescent="0.45"/>
  <cols>
    <col min="1" max="1" width="46" customWidth="1"/>
    <col min="2" max="3" width="16" customWidth="1"/>
    <col min="4" max="4" width="54" customWidth="1"/>
    <col min="5" max="8" width="15" customWidth="1"/>
  </cols>
  <sheetData>
    <row r="1" spans="1:8" ht="24" customHeight="1" x14ac:dyDescent="0.5">
      <c r="A1" s="1" t="s">
        <v>129</v>
      </c>
      <c r="B1" s="2"/>
      <c r="C1" s="2"/>
      <c r="D1" s="2"/>
      <c r="E1" s="2"/>
      <c r="F1" s="2"/>
      <c r="G1" s="2"/>
      <c r="H1" s="2"/>
    </row>
    <row r="2" spans="1:8" x14ac:dyDescent="0.45">
      <c r="A2" s="3" t="s">
        <v>130</v>
      </c>
    </row>
    <row r="4" spans="1:8" x14ac:dyDescent="0.45">
      <c r="A4" s="11" t="s">
        <v>131</v>
      </c>
      <c r="B4" s="12"/>
      <c r="C4" s="12"/>
      <c r="D4" s="12"/>
      <c r="E4" s="12"/>
      <c r="F4" s="12"/>
      <c r="G4" s="12"/>
      <c r="H4" s="12"/>
    </row>
    <row r="5" spans="1:8" x14ac:dyDescent="0.45">
      <c r="A5" s="6" t="s">
        <v>132</v>
      </c>
      <c r="B5" s="26">
        <f>'1_Cost_Job'!B66</f>
        <v>0.27446857142857145</v>
      </c>
      <c r="C5" s="3" t="s">
        <v>113</v>
      </c>
    </row>
    <row r="6" spans="1:8" x14ac:dyDescent="0.45">
      <c r="A6" s="6" t="s">
        <v>133</v>
      </c>
      <c r="B6" s="22">
        <v>3</v>
      </c>
      <c r="C6" s="3" t="s">
        <v>134</v>
      </c>
      <c r="D6" s="3" t="s">
        <v>135</v>
      </c>
    </row>
    <row r="7" spans="1:8" x14ac:dyDescent="0.45">
      <c r="A7" s="10" t="s">
        <v>136</v>
      </c>
      <c r="B7" s="19">
        <f>B5*B6</f>
        <v>0.8234057142857143</v>
      </c>
      <c r="C7" s="3" t="s">
        <v>113</v>
      </c>
    </row>
    <row r="9" spans="1:8" x14ac:dyDescent="0.45">
      <c r="A9" s="11" t="s">
        <v>137</v>
      </c>
      <c r="B9" s="12"/>
      <c r="C9" s="12"/>
      <c r="D9" s="12"/>
      <c r="E9" s="12"/>
      <c r="F9" s="12"/>
      <c r="G9" s="12"/>
      <c r="H9" s="12"/>
    </row>
    <row r="10" spans="1:8" x14ac:dyDescent="0.45">
      <c r="A10" s="6" t="s">
        <v>138</v>
      </c>
      <c r="B10" s="27">
        <v>64</v>
      </c>
      <c r="D10" s="3" t="s">
        <v>139</v>
      </c>
    </row>
    <row r="11" spans="1:8" x14ac:dyDescent="0.45">
      <c r="A11" s="6" t="s">
        <v>140</v>
      </c>
      <c r="B11" s="14">
        <v>8</v>
      </c>
      <c r="C11" s="3" t="s">
        <v>39</v>
      </c>
    </row>
    <row r="12" spans="1:8" x14ac:dyDescent="0.45">
      <c r="A12" s="6" t="s">
        <v>141</v>
      </c>
      <c r="B12" s="18">
        <f>IF(B11=0,0,B10*0.1/B11)</f>
        <v>0.8</v>
      </c>
      <c r="C12" s="3" t="s">
        <v>113</v>
      </c>
    </row>
    <row r="13" spans="1:8" x14ac:dyDescent="0.45">
      <c r="A13" s="6" t="s">
        <v>142</v>
      </c>
      <c r="B13" s="18">
        <f>IF(B11=0,0,B10*0.25/B11)</f>
        <v>2</v>
      </c>
      <c r="C13" s="3" t="s">
        <v>113</v>
      </c>
    </row>
    <row r="14" spans="1:8" x14ac:dyDescent="0.45">
      <c r="A14" s="6" t="s">
        <v>143</v>
      </c>
      <c r="B14" s="27">
        <v>64</v>
      </c>
      <c r="D14" s="3" t="s">
        <v>144</v>
      </c>
    </row>
    <row r="15" spans="1:8" x14ac:dyDescent="0.45">
      <c r="A15" s="6" t="s">
        <v>145</v>
      </c>
      <c r="B15" s="18">
        <f>IF(B11=0,0,B14*0.5/B11)</f>
        <v>4</v>
      </c>
      <c r="C15" s="3" t="s">
        <v>113</v>
      </c>
    </row>
    <row r="16" spans="1:8" x14ac:dyDescent="0.45">
      <c r="A16" s="6" t="s">
        <v>146</v>
      </c>
      <c r="B16" s="18">
        <f>IF(B11=0,0,B14*0.7/B11)</f>
        <v>5.6</v>
      </c>
      <c r="C16" s="3" t="s">
        <v>113</v>
      </c>
    </row>
    <row r="18" spans="1:8" x14ac:dyDescent="0.45">
      <c r="A18" s="11" t="s">
        <v>147</v>
      </c>
      <c r="B18" s="12"/>
      <c r="C18" s="12"/>
      <c r="D18" s="12"/>
      <c r="E18" s="12"/>
      <c r="F18" s="12"/>
      <c r="G18" s="12"/>
      <c r="H18" s="12"/>
    </row>
    <row r="19" spans="1:8" x14ac:dyDescent="0.45">
      <c r="A19" s="6" t="s">
        <v>148</v>
      </c>
      <c r="B19" s="21">
        <v>0.99</v>
      </c>
      <c r="C19" s="3" t="s">
        <v>113</v>
      </c>
      <c r="D19" s="3" t="s">
        <v>149</v>
      </c>
    </row>
    <row r="20" spans="1:8" x14ac:dyDescent="0.45">
      <c r="A20" s="6" t="s">
        <v>150</v>
      </c>
      <c r="B20" s="28">
        <f>IF(B5=0,0,B19/B5)</f>
        <v>3.6069703530979345</v>
      </c>
    </row>
    <row r="21" spans="1:8" x14ac:dyDescent="0.45">
      <c r="A21" s="10" t="s">
        <v>151</v>
      </c>
      <c r="B21" s="29">
        <f>IF(B19=0,0,(B19-B5)/B19)</f>
        <v>0.72275901875901871</v>
      </c>
    </row>
    <row r="22" spans="1:8" x14ac:dyDescent="0.45">
      <c r="A22" s="6" t="s">
        <v>152</v>
      </c>
      <c r="B22" s="7" t="str">
        <f>IF(B20&gt;=B6,"OK — ĐẠT","KHÔNG ĐẠT — quay lại tab 1")</f>
        <v>OK — ĐẠT</v>
      </c>
    </row>
    <row r="23" spans="1:8" x14ac:dyDescent="0.45">
      <c r="A23" s="6" t="s">
        <v>153</v>
      </c>
      <c r="B23" s="7" t="str">
        <f>IF(B21&gt;=0.6,"OK — AN TOÀN (≥60%)",IF(B21&gt;=0.5,"CẢNH BÁO (50–60%)","NGUY HIỂM (&lt;50%)"))</f>
        <v>OK — AN TOÀN (≥60%)</v>
      </c>
    </row>
    <row r="24" spans="1:8" x14ac:dyDescent="0.45">
      <c r="A24" s="6" t="s">
        <v>154</v>
      </c>
      <c r="B24" s="7" t="str">
        <f>IF(B21&gt;0.85,"NGHI NGỜ — nhiều khả năng bạn quên một khoản chi phí","OK")</f>
        <v>OK</v>
      </c>
    </row>
    <row r="25" spans="1:8" x14ac:dyDescent="0.45">
      <c r="A25" s="6" t="s">
        <v>155</v>
      </c>
      <c r="B25" s="7" t="str">
        <f>IF(AND(B19&gt;=B7,B19&lt;=MAX(B13,B16)),"OK — trong vùng giá bán","XEM LẠI — ngoài vùng giá sàn/trần")</f>
        <v>OK — trong vùng giá bán</v>
      </c>
    </row>
    <row r="27" spans="1:8" x14ac:dyDescent="0.45">
      <c r="A27" s="11" t="s">
        <v>156</v>
      </c>
      <c r="B27" s="12"/>
      <c r="C27" s="12"/>
      <c r="D27" s="12"/>
      <c r="E27" s="12"/>
      <c r="F27" s="12"/>
      <c r="G27" s="12"/>
      <c r="H27" s="12"/>
    </row>
    <row r="28" spans="1:8" x14ac:dyDescent="0.45">
      <c r="A28" s="3" t="s">
        <v>157</v>
      </c>
    </row>
    <row r="29" spans="1:8" x14ac:dyDescent="0.45">
      <c r="A29" s="6" t="s">
        <v>158</v>
      </c>
      <c r="B29" s="26">
        <f>'1_Cost_Job'!B31+'1_Cost_Job'!B38+'1_Cost_Job'!B43+'1_Cost_Job'!B47</f>
        <v>0.17712800000000001</v>
      </c>
    </row>
    <row r="30" spans="1:8" x14ac:dyDescent="0.45">
      <c r="A30" s="6" t="s">
        <v>159</v>
      </c>
      <c r="B30" s="26">
        <f>'1_Cost_Job'!B51*('1_Cost_Job'!B52/60)*'1_Cost_Job'!B50</f>
        <v>1.5000000000000001E-2</v>
      </c>
    </row>
    <row r="31" spans="1:8" x14ac:dyDescent="0.45">
      <c r="A31" s="6" t="s">
        <v>160</v>
      </c>
      <c r="B31" s="26">
        <f>IF('1_Cost_Job'!B6="B",('1_Cost_Job'!B53/60)*'1_Cost_Job'!B50,0)</f>
        <v>0</v>
      </c>
    </row>
    <row r="32" spans="1:8" x14ac:dyDescent="0.45">
      <c r="A32" s="6" t="s">
        <v>161</v>
      </c>
      <c r="B32" s="15">
        <v>0.6</v>
      </c>
    </row>
    <row r="33" spans="1:8" x14ac:dyDescent="0.45">
      <c r="A33" s="10" t="s">
        <v>162</v>
      </c>
      <c r="B33" s="29">
        <f>IF((B19*(1-B32)+B31)=0,0,(B29+B30+B31)/(B19*(1-B32)+B31))</f>
        <v>0.4851717171717172</v>
      </c>
      <c r="D33" s="3" t="s">
        <v>163</v>
      </c>
    </row>
    <row r="34" spans="1:8" x14ac:dyDescent="0.45">
      <c r="A34" s="6" t="s">
        <v>164</v>
      </c>
      <c r="B34" s="30">
        <f>'1_Cost_Job'!B10</f>
        <v>0.7</v>
      </c>
    </row>
    <row r="35" spans="1:8" x14ac:dyDescent="0.45">
      <c r="A35" s="6" t="s">
        <v>165</v>
      </c>
      <c r="B35" s="7" t="str">
        <f>IF(B34&gt;=B33,"ĐẠT — mô hình có lãi lành mạnh","CHƯA ĐẠT — phải tăng containment, tăng giá, hoặc đổi biến thể HITL")</f>
        <v>ĐẠT — mô hình có lãi lành mạnh</v>
      </c>
    </row>
    <row r="37" spans="1:8" x14ac:dyDescent="0.45">
      <c r="A37" s="11" t="s">
        <v>166</v>
      </c>
      <c r="B37" s="12"/>
      <c r="C37" s="12"/>
      <c r="D37" s="12"/>
      <c r="E37" s="12"/>
      <c r="F37" s="12"/>
      <c r="G37" s="12"/>
      <c r="H37" s="12"/>
    </row>
    <row r="38" spans="1:8" x14ac:dyDescent="0.45">
      <c r="A38" s="31" t="s">
        <v>167</v>
      </c>
      <c r="B38" s="31" t="s">
        <v>168</v>
      </c>
      <c r="C38" s="31" t="s">
        <v>169</v>
      </c>
      <c r="D38" s="31" t="s">
        <v>170</v>
      </c>
    </row>
    <row r="39" spans="1:8" x14ac:dyDescent="0.45">
      <c r="A39" s="32">
        <v>0.5</v>
      </c>
      <c r="B39" s="18">
        <f t="shared" ref="B39:B44" si="0">($B$29+$B$30+$B$31*(1-A39))/A39</f>
        <v>0.38425600000000004</v>
      </c>
      <c r="C39" s="20">
        <f t="shared" ref="C39:C44" si="1">IF($B$19=0,0,1-B39/$B$19)</f>
        <v>0.61186262626262622</v>
      </c>
      <c r="D39" s="7" t="str">
        <f t="shared" ref="D39:D44" si="2">IF(C39&gt;=0.6,"An toàn",IF(C39&gt;=0.5,"Cảnh báo","Nguy hiểm"))</f>
        <v>An toàn</v>
      </c>
    </row>
    <row r="40" spans="1:8" x14ac:dyDescent="0.45">
      <c r="A40" s="32">
        <v>0.6</v>
      </c>
      <c r="B40" s="18">
        <f t="shared" si="0"/>
        <v>0.32021333333333341</v>
      </c>
      <c r="C40" s="20">
        <f t="shared" si="1"/>
        <v>0.67655218855218846</v>
      </c>
      <c r="D40" s="7" t="str">
        <f t="shared" si="2"/>
        <v>An toàn</v>
      </c>
    </row>
    <row r="41" spans="1:8" x14ac:dyDescent="0.45">
      <c r="A41" s="32">
        <v>0.7</v>
      </c>
      <c r="B41" s="18">
        <f t="shared" si="0"/>
        <v>0.27446857142857145</v>
      </c>
      <c r="C41" s="20">
        <f t="shared" si="1"/>
        <v>0.72275901875901871</v>
      </c>
      <c r="D41" s="7" t="str">
        <f t="shared" si="2"/>
        <v>An toàn</v>
      </c>
    </row>
    <row r="42" spans="1:8" x14ac:dyDescent="0.45">
      <c r="A42" s="32">
        <v>0.8</v>
      </c>
      <c r="B42" s="18">
        <f t="shared" si="0"/>
        <v>0.24016000000000001</v>
      </c>
      <c r="C42" s="20">
        <f t="shared" si="1"/>
        <v>0.75741414141414143</v>
      </c>
      <c r="D42" s="7" t="str">
        <f t="shared" si="2"/>
        <v>An toàn</v>
      </c>
    </row>
    <row r="43" spans="1:8" x14ac:dyDescent="0.45">
      <c r="A43" s="32">
        <v>0.9</v>
      </c>
      <c r="B43" s="18">
        <f t="shared" si="0"/>
        <v>0.21347555555555559</v>
      </c>
      <c r="C43" s="20">
        <f t="shared" si="1"/>
        <v>0.78436812570145897</v>
      </c>
      <c r="D43" s="7" t="str">
        <f t="shared" si="2"/>
        <v>An toàn</v>
      </c>
    </row>
    <row r="44" spans="1:8" x14ac:dyDescent="0.45">
      <c r="A44" s="32">
        <v>0.95</v>
      </c>
      <c r="B44" s="18">
        <f t="shared" si="0"/>
        <v>0.20224000000000003</v>
      </c>
      <c r="C44" s="20">
        <f t="shared" si="1"/>
        <v>0.79571717171717171</v>
      </c>
      <c r="D44" s="7" t="str">
        <f t="shared" si="2"/>
        <v>An toàn</v>
      </c>
    </row>
    <row r="46" spans="1:8" x14ac:dyDescent="0.45">
      <c r="A46" s="3" t="s">
        <v>171</v>
      </c>
    </row>
    <row r="48" spans="1:8" x14ac:dyDescent="0.45">
      <c r="A48" s="11" t="s">
        <v>172</v>
      </c>
      <c r="B48" s="12"/>
      <c r="C48" s="12"/>
      <c r="D48" s="12"/>
      <c r="E48" s="12"/>
      <c r="F48" s="12"/>
      <c r="G48" s="12"/>
      <c r="H48" s="12"/>
    </row>
    <row r="49" spans="1:2" x14ac:dyDescent="0.45">
      <c r="A49" s="10" t="s">
        <v>168</v>
      </c>
      <c r="B49" s="19">
        <f>B5</f>
        <v>0.27446857142857145</v>
      </c>
    </row>
    <row r="50" spans="1:2" x14ac:dyDescent="0.45">
      <c r="A50" s="10" t="s">
        <v>173</v>
      </c>
      <c r="B50" s="19">
        <f>B7</f>
        <v>0.8234057142857143</v>
      </c>
    </row>
    <row r="51" spans="1:2" x14ac:dyDescent="0.45">
      <c r="A51" s="10" t="s">
        <v>174</v>
      </c>
      <c r="B51" s="19">
        <f>B19</f>
        <v>0.99</v>
      </c>
    </row>
    <row r="52" spans="1:2" x14ac:dyDescent="0.45">
      <c r="A52" s="10" t="s">
        <v>169</v>
      </c>
      <c r="B52" s="29">
        <f>B21</f>
        <v>0.72275901875901871</v>
      </c>
    </row>
    <row r="53" spans="1:2" x14ac:dyDescent="0.45">
      <c r="A53" s="10" t="s">
        <v>175</v>
      </c>
      <c r="B53" s="29">
        <f>B33</f>
        <v>0.4851717171717172</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4"/>
  <sheetViews>
    <sheetView zoomScaleNormal="100" workbookViewId="0">
      <selection activeCell="B35" sqref="B35"/>
    </sheetView>
  </sheetViews>
  <sheetFormatPr defaultColWidth="8.6640625" defaultRowHeight="14.25" x14ac:dyDescent="0.45"/>
  <cols>
    <col min="1" max="1" width="72" customWidth="1"/>
    <col min="2" max="2" width="12" customWidth="1"/>
    <col min="3" max="3" width="50" customWidth="1"/>
    <col min="4" max="4" width="46" customWidth="1"/>
    <col min="5" max="8" width="15" customWidth="1"/>
  </cols>
  <sheetData>
    <row r="1" spans="1:8" ht="24" customHeight="1" x14ac:dyDescent="0.5">
      <c r="A1" s="1" t="s">
        <v>176</v>
      </c>
      <c r="B1" s="2"/>
      <c r="C1" s="2"/>
      <c r="D1" s="2"/>
      <c r="E1" s="2"/>
      <c r="F1" s="2"/>
      <c r="G1" s="2"/>
      <c r="H1" s="2"/>
    </row>
    <row r="2" spans="1:8" x14ac:dyDescent="0.45">
      <c r="A2" s="3" t="s">
        <v>177</v>
      </c>
    </row>
    <row r="4" spans="1:8" x14ac:dyDescent="0.45">
      <c r="A4" s="11" t="s">
        <v>178</v>
      </c>
      <c r="B4" s="12"/>
      <c r="C4" s="12"/>
      <c r="D4" s="12"/>
      <c r="E4" s="12"/>
      <c r="F4" s="12"/>
      <c r="G4" s="12"/>
      <c r="H4" s="12"/>
    </row>
    <row r="5" spans="1:8" x14ac:dyDescent="0.45">
      <c r="A5" s="6" t="s">
        <v>179</v>
      </c>
      <c r="B5" s="13">
        <v>1</v>
      </c>
    </row>
    <row r="6" spans="1:8" x14ac:dyDescent="0.45">
      <c r="A6" s="6" t="s">
        <v>180</v>
      </c>
      <c r="B6" s="13">
        <v>0</v>
      </c>
    </row>
    <row r="7" spans="1:8" x14ac:dyDescent="0.45">
      <c r="A7" s="6" t="s">
        <v>181</v>
      </c>
      <c r="B7" s="13">
        <v>1</v>
      </c>
    </row>
    <row r="8" spans="1:8" x14ac:dyDescent="0.45">
      <c r="A8" s="6" t="s">
        <v>182</v>
      </c>
      <c r="B8" s="13">
        <v>1</v>
      </c>
    </row>
    <row r="9" spans="1:8" x14ac:dyDescent="0.45">
      <c r="A9" s="6" t="s">
        <v>183</v>
      </c>
      <c r="B9" s="13">
        <v>2</v>
      </c>
    </row>
    <row r="10" spans="1:8" x14ac:dyDescent="0.45">
      <c r="A10" s="10" t="s">
        <v>184</v>
      </c>
      <c r="B10" s="33">
        <f>SUM(B5:B9)</f>
        <v>5</v>
      </c>
    </row>
    <row r="12" spans="1:8" x14ac:dyDescent="0.45">
      <c r="A12" s="11" t="s">
        <v>185</v>
      </c>
      <c r="B12" s="12"/>
      <c r="C12" s="12"/>
      <c r="D12" s="12"/>
      <c r="E12" s="12"/>
      <c r="F12" s="12"/>
      <c r="G12" s="12"/>
      <c r="H12" s="12"/>
    </row>
    <row r="13" spans="1:8" x14ac:dyDescent="0.45">
      <c r="A13" s="6" t="s">
        <v>186</v>
      </c>
      <c r="B13" s="13">
        <v>2</v>
      </c>
    </row>
    <row r="14" spans="1:8" x14ac:dyDescent="0.45">
      <c r="A14" s="6" t="s">
        <v>187</v>
      </c>
      <c r="B14" s="13">
        <v>2</v>
      </c>
    </row>
    <row r="15" spans="1:8" x14ac:dyDescent="0.45">
      <c r="A15" s="6" t="s">
        <v>188</v>
      </c>
      <c r="B15" s="13">
        <v>1</v>
      </c>
    </row>
    <row r="16" spans="1:8" x14ac:dyDescent="0.45">
      <c r="A16" s="6" t="s">
        <v>189</v>
      </c>
      <c r="B16" s="13">
        <v>0</v>
      </c>
    </row>
    <row r="17" spans="1:8" x14ac:dyDescent="0.45">
      <c r="A17" s="6" t="s">
        <v>190</v>
      </c>
      <c r="B17" s="13">
        <v>2</v>
      </c>
    </row>
    <row r="18" spans="1:8" x14ac:dyDescent="0.45">
      <c r="A18" s="10" t="s">
        <v>191</v>
      </c>
      <c r="B18" s="33">
        <f>SUM(B13:B17)</f>
        <v>7</v>
      </c>
    </row>
    <row r="20" spans="1:8" x14ac:dyDescent="0.45">
      <c r="A20" s="11" t="s">
        <v>192</v>
      </c>
      <c r="B20" s="12"/>
      <c r="C20" s="12"/>
      <c r="D20" s="12"/>
      <c r="E20" s="12"/>
      <c r="F20" s="12"/>
      <c r="G20" s="12"/>
      <c r="H20" s="12"/>
    </row>
    <row r="21" spans="1:8" x14ac:dyDescent="0.45">
      <c r="A21" s="10" t="s">
        <v>193</v>
      </c>
      <c r="B21" s="34" t="str">
        <f>IF(AND(B10&gt;=7,B18&gt;=7),"OUTCOME",IF(AND(B10&gt;=7,B18&lt;7),"USAGE",IF(AND(B10&lt;7,B18&gt;=7),"USAGE (an toàn)","SEAT hoặc HYBRID")))</f>
        <v>USAGE (an toàn)</v>
      </c>
    </row>
    <row r="22" spans="1:8" x14ac:dyDescent="0.45">
      <c r="A22" s="3" t="s">
        <v>194</v>
      </c>
    </row>
    <row r="24" spans="1:8" x14ac:dyDescent="0.45">
      <c r="A24" s="11" t="s">
        <v>195</v>
      </c>
      <c r="B24" s="12"/>
      <c r="C24" s="12"/>
      <c r="D24" s="12"/>
      <c r="E24" s="12"/>
      <c r="F24" s="12"/>
      <c r="G24" s="12"/>
      <c r="H24" s="12"/>
    </row>
    <row r="25" spans="1:8" x14ac:dyDescent="0.45">
      <c r="A25" s="31" t="s">
        <v>196</v>
      </c>
      <c r="B25" s="31" t="s">
        <v>197</v>
      </c>
      <c r="C25" s="31" t="s">
        <v>198</v>
      </c>
      <c r="D25" s="31" t="s">
        <v>199</v>
      </c>
    </row>
    <row r="26" spans="1:8" ht="26.25" x14ac:dyDescent="0.45">
      <c r="A26" s="42" t="s">
        <v>423</v>
      </c>
      <c r="B26" s="43" t="s">
        <v>425</v>
      </c>
      <c r="C26" s="43" t="s">
        <v>427</v>
      </c>
      <c r="D26" s="44" t="s">
        <v>429</v>
      </c>
    </row>
    <row r="27" spans="1:8" ht="26.25" x14ac:dyDescent="0.45">
      <c r="A27" s="42" t="s">
        <v>424</v>
      </c>
      <c r="B27" s="43" t="s">
        <v>426</v>
      </c>
      <c r="C27" s="42" t="s">
        <v>428</v>
      </c>
      <c r="D27" s="44" t="s">
        <v>430</v>
      </c>
    </row>
    <row r="29" spans="1:8" x14ac:dyDescent="0.45">
      <c r="A29" s="11" t="s">
        <v>200</v>
      </c>
      <c r="B29" s="12"/>
      <c r="C29" s="12"/>
      <c r="D29" s="12"/>
      <c r="E29" s="12"/>
      <c r="F29" s="12"/>
      <c r="G29" s="12"/>
      <c r="H29" s="12"/>
    </row>
    <row r="30" spans="1:8" x14ac:dyDescent="0.45">
      <c r="A30" s="6" t="s">
        <v>201</v>
      </c>
      <c r="B30" s="42" t="s">
        <v>431</v>
      </c>
    </row>
    <row r="31" spans="1:8" x14ac:dyDescent="0.45">
      <c r="A31" s="6" t="s">
        <v>202</v>
      </c>
      <c r="B31" s="42" t="s">
        <v>432</v>
      </c>
    </row>
    <row r="32" spans="1:8" x14ac:dyDescent="0.45">
      <c r="A32" s="6" t="s">
        <v>203</v>
      </c>
      <c r="B32" s="42" t="s">
        <v>433</v>
      </c>
    </row>
    <row r="33" spans="1:2" x14ac:dyDescent="0.45">
      <c r="A33" s="6" t="s">
        <v>204</v>
      </c>
      <c r="B33" s="42" t="s">
        <v>434</v>
      </c>
    </row>
    <row r="34" spans="1:2" x14ac:dyDescent="0.45">
      <c r="A34" s="6" t="s">
        <v>205</v>
      </c>
      <c r="B34" s="42" t="s">
        <v>435</v>
      </c>
    </row>
  </sheetData>
  <hyperlinks>
    <hyperlink ref="D26" r:id="rId1" xr:uid="{2D5D52DB-1A30-4A5B-9600-E2A79B91CCFF}"/>
    <hyperlink ref="D27" r:id="rId2" xr:uid="{AFF8713F-C440-4808-8AD9-308206CDFDE1}"/>
  </hyperlink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2"/>
  <sheetViews>
    <sheetView topLeftCell="A6" zoomScaleNormal="100" workbookViewId="0">
      <selection activeCell="G34" sqref="G34"/>
    </sheetView>
  </sheetViews>
  <sheetFormatPr defaultColWidth="8.6640625" defaultRowHeight="14.25" x14ac:dyDescent="0.45"/>
  <cols>
    <col min="1" max="1" width="46" customWidth="1"/>
    <col min="2" max="3" width="16" customWidth="1"/>
    <col min="4" max="4" width="54" customWidth="1"/>
    <col min="5" max="8" width="15" customWidth="1"/>
  </cols>
  <sheetData>
    <row r="1" spans="1:8" ht="24" customHeight="1" x14ac:dyDescent="0.5">
      <c r="A1" s="1" t="s">
        <v>206</v>
      </c>
      <c r="B1" s="2"/>
      <c r="C1" s="2"/>
      <c r="D1" s="2"/>
      <c r="E1" s="2"/>
      <c r="F1" s="2"/>
      <c r="G1" s="2"/>
      <c r="H1" s="2"/>
    </row>
    <row r="2" spans="1:8" x14ac:dyDescent="0.45">
      <c r="A2" s="3" t="s">
        <v>207</v>
      </c>
    </row>
    <row r="4" spans="1:8" x14ac:dyDescent="0.45">
      <c r="A4" s="11" t="s">
        <v>208</v>
      </c>
      <c r="B4" s="12"/>
      <c r="C4" s="12"/>
      <c r="D4" s="12"/>
      <c r="E4" s="12"/>
      <c r="F4" s="12"/>
      <c r="G4" s="12"/>
      <c r="H4" s="12"/>
    </row>
    <row r="5" spans="1:8" x14ac:dyDescent="0.45">
      <c r="A5" s="6" t="s">
        <v>209</v>
      </c>
      <c r="B5" s="27">
        <v>8</v>
      </c>
    </row>
    <row r="6" spans="1:8" x14ac:dyDescent="0.45">
      <c r="A6" s="6" t="s">
        <v>210</v>
      </c>
      <c r="B6" s="30">
        <f>'2_Pricing'!B21</f>
        <v>0.72275901875901871</v>
      </c>
    </row>
    <row r="7" spans="1:8" x14ac:dyDescent="0.45">
      <c r="A7" s="6" t="s">
        <v>211</v>
      </c>
      <c r="B7" s="13" t="s">
        <v>212</v>
      </c>
    </row>
    <row r="8" spans="1:8" x14ac:dyDescent="0.45">
      <c r="A8" s="6" t="s">
        <v>213</v>
      </c>
      <c r="B8" s="16">
        <f>IF(B7="SMB",12,IF(B7="Mid",18,24))</f>
        <v>12</v>
      </c>
      <c r="C8" s="3" t="s">
        <v>214</v>
      </c>
      <c r="D8" s="3" t="s">
        <v>215</v>
      </c>
    </row>
    <row r="9" spans="1:8" x14ac:dyDescent="0.45">
      <c r="A9" s="10" t="s">
        <v>216</v>
      </c>
      <c r="B9" s="35">
        <f>B5*B6*B8</f>
        <v>69.384865800865796</v>
      </c>
      <c r="D9" s="3" t="s">
        <v>217</v>
      </c>
    </row>
    <row r="10" spans="1:8" x14ac:dyDescent="0.45">
      <c r="A10" s="6" t="s">
        <v>218</v>
      </c>
      <c r="B10" s="36">
        <f>B5*12</f>
        <v>96</v>
      </c>
    </row>
    <row r="12" spans="1:8" x14ac:dyDescent="0.45">
      <c r="A12" s="11" t="s">
        <v>219</v>
      </c>
      <c r="B12" s="12"/>
      <c r="C12" s="12"/>
      <c r="D12" s="12"/>
      <c r="E12" s="12"/>
      <c r="F12" s="12"/>
      <c r="G12" s="12"/>
      <c r="H12" s="12"/>
    </row>
    <row r="13" spans="1:8" x14ac:dyDescent="0.45">
      <c r="A13" s="6" t="s">
        <v>220</v>
      </c>
      <c r="B13" s="27">
        <v>500000</v>
      </c>
      <c r="D13" s="3" t="s">
        <v>221</v>
      </c>
    </row>
    <row r="14" spans="1:8" x14ac:dyDescent="0.45">
      <c r="A14" s="6" t="s">
        <v>222</v>
      </c>
      <c r="B14" s="14">
        <v>250</v>
      </c>
      <c r="C14" s="3" t="s">
        <v>223</v>
      </c>
    </row>
    <row r="15" spans="1:8" x14ac:dyDescent="0.45">
      <c r="A15" s="6" t="s">
        <v>224</v>
      </c>
      <c r="B15" s="16">
        <f>IF(B10=0,0,B13/B10)</f>
        <v>5208.333333333333</v>
      </c>
    </row>
    <row r="16" spans="1:8" x14ac:dyDescent="0.45">
      <c r="A16" s="10" t="s">
        <v>225</v>
      </c>
      <c r="B16" s="37">
        <f>IF(B14=0,0,B15/B14)</f>
        <v>20.833333333333332</v>
      </c>
      <c r="C16" s="3" t="s">
        <v>226</v>
      </c>
    </row>
    <row r="17" spans="1:8" x14ac:dyDescent="0.45">
      <c r="A17" s="6" t="s">
        <v>227</v>
      </c>
      <c r="B17" s="7" t="str">
        <f>IF(B16&lt;=1,"KHẢ THI về mặt số học","BẤT KHẢ THI — ACV quá thấp để nuôi sales rep")</f>
        <v>BẤT KHẢ THI — ACV quá thấp để nuôi sales rep</v>
      </c>
    </row>
    <row r="19" spans="1:8" x14ac:dyDescent="0.45">
      <c r="A19" s="11" t="s">
        <v>228</v>
      </c>
      <c r="B19" s="12"/>
      <c r="C19" s="12"/>
      <c r="D19" s="12"/>
      <c r="E19" s="12"/>
      <c r="F19" s="12"/>
      <c r="G19" s="12"/>
      <c r="H19" s="12"/>
    </row>
    <row r="20" spans="1:8" x14ac:dyDescent="0.45">
      <c r="A20" s="6" t="s">
        <v>229</v>
      </c>
      <c r="B20" s="27">
        <v>6300</v>
      </c>
      <c r="D20" s="3" t="s">
        <v>230</v>
      </c>
    </row>
    <row r="21" spans="1:8" x14ac:dyDescent="0.45">
      <c r="A21" s="6" t="s">
        <v>231</v>
      </c>
      <c r="B21" s="15">
        <v>0.25</v>
      </c>
    </row>
    <row r="22" spans="1:8" x14ac:dyDescent="0.45">
      <c r="A22" s="6" t="s">
        <v>232</v>
      </c>
      <c r="B22" s="36">
        <f>IF(B21=0,0,B20/B21)</f>
        <v>25200</v>
      </c>
    </row>
    <row r="23" spans="1:8" x14ac:dyDescent="0.45">
      <c r="A23" s="10" t="s">
        <v>233</v>
      </c>
      <c r="B23" s="38">
        <f>IF(B9=0,0,B22/B9)</f>
        <v>363.19159386030765</v>
      </c>
      <c r="D23" s="3" t="s">
        <v>234</v>
      </c>
    </row>
    <row r="24" spans="1:8" x14ac:dyDescent="0.45">
      <c r="A24" s="6" t="s">
        <v>165</v>
      </c>
      <c r="B24" s="7" t="str">
        <f>IF(B23&lt;=1,"Motion có sales KHẢ THI",IF(B23&lt;=3,"Căng — cần tăng giá hoặc giảm chi phí bán hàng","KHÔNG KHẢ THI — đi PLG hoặc Partner-Led"))</f>
        <v>KHÔNG KHẢ THI — đi PLG hoặc Partner-Led</v>
      </c>
    </row>
    <row r="26" spans="1:8" x14ac:dyDescent="0.45">
      <c r="A26" s="11" t="s">
        <v>235</v>
      </c>
      <c r="B26" s="12"/>
      <c r="C26" s="12"/>
      <c r="D26" s="12"/>
      <c r="E26" s="12"/>
      <c r="F26" s="12"/>
      <c r="G26" s="12"/>
      <c r="H26" s="12"/>
    </row>
    <row r="27" spans="1:8" x14ac:dyDescent="0.45">
      <c r="A27" s="31" t="s">
        <v>236</v>
      </c>
      <c r="B27" s="31" t="s">
        <v>237</v>
      </c>
      <c r="C27" s="31" t="s">
        <v>238</v>
      </c>
      <c r="D27" s="31" t="s">
        <v>239</v>
      </c>
    </row>
    <row r="28" spans="1:8" x14ac:dyDescent="0.45">
      <c r="A28" s="6" t="s">
        <v>240</v>
      </c>
      <c r="B28" s="13">
        <v>4</v>
      </c>
      <c r="C28" s="13">
        <v>1</v>
      </c>
      <c r="D28" s="13">
        <v>4</v>
      </c>
    </row>
    <row r="29" spans="1:8" x14ac:dyDescent="0.45">
      <c r="A29" s="6" t="s">
        <v>241</v>
      </c>
      <c r="B29" s="13">
        <v>4</v>
      </c>
      <c r="C29" s="13">
        <v>1</v>
      </c>
      <c r="D29" s="13">
        <v>4</v>
      </c>
    </row>
    <row r="30" spans="1:8" x14ac:dyDescent="0.45">
      <c r="A30" s="6" t="s">
        <v>242</v>
      </c>
      <c r="B30" s="13">
        <v>4</v>
      </c>
      <c r="C30" s="13">
        <v>1</v>
      </c>
      <c r="D30" s="13">
        <v>2</v>
      </c>
    </row>
    <row r="31" spans="1:8" x14ac:dyDescent="0.45">
      <c r="A31" s="6" t="s">
        <v>243</v>
      </c>
      <c r="B31" s="13">
        <v>4</v>
      </c>
      <c r="C31" s="13">
        <v>2</v>
      </c>
      <c r="D31" s="13">
        <v>2</v>
      </c>
    </row>
    <row r="32" spans="1:8" x14ac:dyDescent="0.45">
      <c r="A32" s="6" t="s">
        <v>244</v>
      </c>
      <c r="B32" s="13">
        <v>3</v>
      </c>
      <c r="C32" s="13">
        <v>1</v>
      </c>
      <c r="D32" s="13">
        <v>3</v>
      </c>
    </row>
    <row r="33" spans="1:8" x14ac:dyDescent="0.45">
      <c r="A33" s="6" t="s">
        <v>245</v>
      </c>
      <c r="B33" s="13">
        <v>5</v>
      </c>
      <c r="C33" s="13">
        <v>2</v>
      </c>
      <c r="D33" s="13">
        <v>3</v>
      </c>
    </row>
    <row r="34" spans="1:8" x14ac:dyDescent="0.45">
      <c r="A34" s="10" t="s">
        <v>246</v>
      </c>
      <c r="B34" s="34">
        <f>SUM(B28:B33)</f>
        <v>24</v>
      </c>
      <c r="C34" s="34">
        <f>SUM(C28:C33)</f>
        <v>8</v>
      </c>
      <c r="D34" s="34">
        <f>SUM(D28:D33)</f>
        <v>18</v>
      </c>
    </row>
    <row r="35" spans="1:8" x14ac:dyDescent="0.45">
      <c r="A35" s="10" t="s">
        <v>247</v>
      </c>
      <c r="B35" s="34" t="str">
        <f>IF(AND(B34&gt;=C34,B34&gt;=D34),"PLG",IF(C34&gt;=D34,"Sales-Led","Partner-Led"))</f>
        <v>PLG</v>
      </c>
    </row>
    <row r="37" spans="1:8" x14ac:dyDescent="0.45">
      <c r="A37" s="11" t="s">
        <v>248</v>
      </c>
      <c r="B37" s="12"/>
      <c r="C37" s="12"/>
      <c r="D37" s="12"/>
      <c r="E37" s="12"/>
      <c r="F37" s="12"/>
      <c r="G37" s="12"/>
      <c r="H37" s="12"/>
    </row>
    <row r="38" spans="1:8" x14ac:dyDescent="0.45">
      <c r="A38" s="6" t="s">
        <v>249</v>
      </c>
      <c r="B38" s="42" t="s">
        <v>237</v>
      </c>
      <c r="D38" s="3" t="s">
        <v>250</v>
      </c>
    </row>
    <row r="39" spans="1:8" x14ac:dyDescent="0.45">
      <c r="A39" s="6" t="s">
        <v>251</v>
      </c>
      <c r="B39" s="42" t="s">
        <v>437</v>
      </c>
      <c r="D39" s="3" t="s">
        <v>252</v>
      </c>
    </row>
    <row r="40" spans="1:8" x14ac:dyDescent="0.45">
      <c r="A40" s="6" t="s">
        <v>253</v>
      </c>
      <c r="B40" s="42" t="s">
        <v>436</v>
      </c>
    </row>
    <row r="41" spans="1:8" x14ac:dyDescent="0.45">
      <c r="A41" s="6" t="s">
        <v>255</v>
      </c>
      <c r="B41" s="42" t="s">
        <v>436</v>
      </c>
    </row>
    <row r="42" spans="1:8" x14ac:dyDescent="0.45">
      <c r="A42" s="6" t="s">
        <v>256</v>
      </c>
      <c r="B42" s="42" t="s">
        <v>438</v>
      </c>
      <c r="D42" s="3" t="s">
        <v>257</v>
      </c>
    </row>
  </sheetData>
  <dataValidations count="1">
    <dataValidation type="list" sqref="B7" xr:uid="{00000000-0002-0000-0400-000000000000}">
      <formula1>"SMB,Mid,Enterprise"</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2"/>
  <sheetViews>
    <sheetView tabSelected="1" zoomScaleNormal="100" workbookViewId="0">
      <selection activeCell="I14" sqref="I14"/>
    </sheetView>
  </sheetViews>
  <sheetFormatPr defaultColWidth="8.6640625" defaultRowHeight="14.25" x14ac:dyDescent="0.45"/>
  <cols>
    <col min="1" max="1" width="30" customWidth="1"/>
    <col min="2" max="4" width="34" customWidth="1"/>
    <col min="5" max="8" width="15" customWidth="1"/>
  </cols>
  <sheetData>
    <row r="1" spans="1:8" ht="24" customHeight="1" x14ac:dyDescent="0.5">
      <c r="A1" s="1" t="s">
        <v>258</v>
      </c>
      <c r="B1" s="2"/>
      <c r="C1" s="2"/>
      <c r="D1" s="2"/>
      <c r="E1" s="2"/>
      <c r="F1" s="2"/>
      <c r="G1" s="2"/>
      <c r="H1" s="2"/>
    </row>
    <row r="2" spans="1:8" x14ac:dyDescent="0.45">
      <c r="A2" s="3" t="s">
        <v>259</v>
      </c>
    </row>
    <row r="4" spans="1:8" x14ac:dyDescent="0.45">
      <c r="A4" s="11" t="s">
        <v>260</v>
      </c>
      <c r="B4" s="12"/>
      <c r="C4" s="12"/>
      <c r="D4" s="12"/>
      <c r="E4" s="12"/>
      <c r="F4" s="12"/>
      <c r="G4" s="12"/>
      <c r="H4" s="12"/>
    </row>
    <row r="5" spans="1:8" x14ac:dyDescent="0.45">
      <c r="A5" s="6" t="s">
        <v>261</v>
      </c>
      <c r="B5" s="42" t="s">
        <v>439</v>
      </c>
    </row>
    <row r="6" spans="1:8" x14ac:dyDescent="0.45">
      <c r="A6" s="6" t="s">
        <v>262</v>
      </c>
      <c r="B6" s="42" t="s">
        <v>440</v>
      </c>
    </row>
    <row r="7" spans="1:8" x14ac:dyDescent="0.45">
      <c r="A7" s="6" t="s">
        <v>263</v>
      </c>
      <c r="B7" s="42" t="s">
        <v>441</v>
      </c>
    </row>
    <row r="8" spans="1:8" x14ac:dyDescent="0.45">
      <c r="A8" s="6" t="s">
        <v>264</v>
      </c>
      <c r="B8" s="42" t="s">
        <v>442</v>
      </c>
      <c r="D8" s="3" t="s">
        <v>265</v>
      </c>
    </row>
    <row r="10" spans="1:8" x14ac:dyDescent="0.45">
      <c r="A10" s="11" t="s">
        <v>266</v>
      </c>
      <c r="B10" s="12"/>
      <c r="C10" s="12"/>
      <c r="D10" s="12"/>
      <c r="E10" s="12"/>
      <c r="F10" s="12"/>
      <c r="G10" s="12"/>
      <c r="H10" s="12"/>
    </row>
    <row r="11" spans="1:8" x14ac:dyDescent="0.45">
      <c r="A11" s="31"/>
      <c r="B11" s="31" t="s">
        <v>267</v>
      </c>
      <c r="C11" s="31" t="s">
        <v>268</v>
      </c>
      <c r="D11" s="31" t="s">
        <v>269</v>
      </c>
    </row>
    <row r="12" spans="1:8" ht="30" customHeight="1" x14ac:dyDescent="0.45">
      <c r="A12" s="6" t="s">
        <v>270</v>
      </c>
      <c r="B12" s="45" t="s">
        <v>443</v>
      </c>
      <c r="C12" s="45" t="s">
        <v>445</v>
      </c>
      <c r="D12" s="45" t="s">
        <v>446</v>
      </c>
    </row>
    <row r="13" spans="1:8" ht="30" customHeight="1" x14ac:dyDescent="0.45">
      <c r="A13" s="6" t="s">
        <v>271</v>
      </c>
      <c r="B13" s="45" t="s">
        <v>444</v>
      </c>
      <c r="C13" s="45" t="s">
        <v>447</v>
      </c>
      <c r="D13" s="45" t="s">
        <v>448</v>
      </c>
    </row>
    <row r="14" spans="1:8" ht="30" customHeight="1" x14ac:dyDescent="0.45">
      <c r="A14" s="6" t="s">
        <v>272</v>
      </c>
      <c r="B14" s="47" t="s">
        <v>449</v>
      </c>
      <c r="C14" s="47" t="s">
        <v>450</v>
      </c>
      <c r="D14" s="47" t="s">
        <v>451</v>
      </c>
    </row>
    <row r="15" spans="1:8" ht="30" customHeight="1" x14ac:dyDescent="0.45">
      <c r="A15" s="6" t="s">
        <v>273</v>
      </c>
      <c r="B15" s="47" t="s">
        <v>452</v>
      </c>
      <c r="C15" s="47" t="s">
        <v>453</v>
      </c>
      <c r="D15" s="47" t="s">
        <v>454</v>
      </c>
    </row>
    <row r="16" spans="1:8" ht="30" customHeight="1" x14ac:dyDescent="0.45">
      <c r="A16" s="6" t="s">
        <v>274</v>
      </c>
      <c r="B16" s="47" t="s">
        <v>455</v>
      </c>
      <c r="C16" s="47" t="s">
        <v>456</v>
      </c>
      <c r="D16" s="47" t="s">
        <v>457</v>
      </c>
    </row>
    <row r="17" spans="1:8" ht="30" customHeight="1" x14ac:dyDescent="0.45">
      <c r="A17" s="6" t="s">
        <v>275</v>
      </c>
      <c r="B17" s="47" t="s">
        <v>458</v>
      </c>
      <c r="C17" s="47" t="s">
        <v>459</v>
      </c>
      <c r="D17" s="47" t="s">
        <v>460</v>
      </c>
    </row>
    <row r="18" spans="1:8" ht="30" customHeight="1" x14ac:dyDescent="0.45">
      <c r="A18" s="6" t="s">
        <v>276</v>
      </c>
      <c r="B18" s="47" t="s">
        <v>461</v>
      </c>
      <c r="C18" s="47" t="s">
        <v>462</v>
      </c>
      <c r="D18" s="47" t="s">
        <v>463</v>
      </c>
    </row>
    <row r="19" spans="1:8" x14ac:dyDescent="0.45">
      <c r="A19" s="3" t="s">
        <v>277</v>
      </c>
    </row>
    <row r="21" spans="1:8" x14ac:dyDescent="0.45">
      <c r="A21" s="11" t="s">
        <v>278</v>
      </c>
      <c r="B21" s="12"/>
      <c r="C21" s="12"/>
      <c r="D21" s="12"/>
      <c r="E21" s="12"/>
      <c r="F21" s="12"/>
      <c r="G21" s="12"/>
      <c r="H21" s="12"/>
    </row>
    <row r="22" spans="1:8" x14ac:dyDescent="0.45">
      <c r="A22" s="31" t="s">
        <v>279</v>
      </c>
      <c r="B22" s="31" t="s">
        <v>280</v>
      </c>
      <c r="C22" s="31" t="s">
        <v>281</v>
      </c>
      <c r="D22" s="31" t="s">
        <v>282</v>
      </c>
    </row>
    <row r="23" spans="1:8" ht="33.75" customHeight="1" x14ac:dyDescent="0.45">
      <c r="A23" s="6" t="s">
        <v>283</v>
      </c>
      <c r="B23" s="48" t="s">
        <v>254</v>
      </c>
      <c r="C23" s="48" t="s">
        <v>464</v>
      </c>
      <c r="D23" s="48" t="s">
        <v>465</v>
      </c>
    </row>
    <row r="24" spans="1:8" ht="33.75" customHeight="1" x14ac:dyDescent="0.45">
      <c r="A24" s="6" t="s">
        <v>284</v>
      </c>
      <c r="B24" s="48" t="s">
        <v>254</v>
      </c>
      <c r="C24" s="48" t="s">
        <v>466</v>
      </c>
      <c r="D24" s="48" t="s">
        <v>467</v>
      </c>
    </row>
    <row r="25" spans="1:8" ht="33.75" customHeight="1" x14ac:dyDescent="0.45">
      <c r="A25" s="6" t="s">
        <v>285</v>
      </c>
      <c r="B25" s="48" t="s">
        <v>254</v>
      </c>
      <c r="C25" s="48" t="s">
        <v>468</v>
      </c>
      <c r="D25" s="48" t="s">
        <v>469</v>
      </c>
    </row>
    <row r="26" spans="1:8" x14ac:dyDescent="0.45">
      <c r="A26" s="3" t="s">
        <v>286</v>
      </c>
    </row>
    <row r="28" spans="1:8" x14ac:dyDescent="0.45">
      <c r="A28" s="11" t="s">
        <v>287</v>
      </c>
      <c r="B28" s="12"/>
      <c r="C28" s="12"/>
      <c r="D28" s="12"/>
      <c r="E28" s="12"/>
      <c r="F28" s="12"/>
      <c r="G28" s="12"/>
      <c r="H28" s="12"/>
    </row>
    <row r="29" spans="1:8" x14ac:dyDescent="0.45">
      <c r="A29" s="6" t="s">
        <v>288</v>
      </c>
      <c r="B29" s="5"/>
    </row>
    <row r="30" spans="1:8" x14ac:dyDescent="0.45">
      <c r="A30" s="6" t="s">
        <v>289</v>
      </c>
      <c r="B30" s="5"/>
    </row>
    <row r="31" spans="1:8" x14ac:dyDescent="0.45">
      <c r="A31" s="6" t="s">
        <v>290</v>
      </c>
      <c r="B31" s="5"/>
    </row>
    <row r="32" spans="1:8" x14ac:dyDescent="0.45">
      <c r="A32" s="6" t="s">
        <v>291</v>
      </c>
      <c r="B32" s="5"/>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46"/>
  <sheetViews>
    <sheetView zoomScaleNormal="100" workbookViewId="0">
      <selection activeCell="F41" sqref="F41"/>
    </sheetView>
  </sheetViews>
  <sheetFormatPr defaultColWidth="8.6640625" defaultRowHeight="14.25" x14ac:dyDescent="0.45"/>
  <cols>
    <col min="1" max="1" width="26" customWidth="1"/>
    <col min="2" max="2" width="30" customWidth="1"/>
    <col min="3" max="3" width="20" customWidth="1"/>
    <col min="4" max="4" width="16" customWidth="1"/>
    <col min="5" max="5" width="56" customWidth="1"/>
    <col min="6" max="8" width="15" customWidth="1"/>
  </cols>
  <sheetData>
    <row r="1" spans="1:8" ht="24" customHeight="1" x14ac:dyDescent="0.5">
      <c r="A1" s="1" t="s">
        <v>292</v>
      </c>
      <c r="B1" s="2"/>
      <c r="C1" s="2"/>
      <c r="D1" s="2"/>
      <c r="E1" s="2"/>
      <c r="F1" s="2"/>
      <c r="G1" s="2"/>
      <c r="H1" s="2"/>
    </row>
    <row r="2" spans="1:8" x14ac:dyDescent="0.45">
      <c r="A2" s="3" t="s">
        <v>293</v>
      </c>
    </row>
    <row r="3" spans="1:8" x14ac:dyDescent="0.45">
      <c r="A3" s="6" t="s">
        <v>294</v>
      </c>
      <c r="B3" s="46">
        <v>46244</v>
      </c>
      <c r="D3" s="3" t="s">
        <v>295</v>
      </c>
    </row>
    <row r="5" spans="1:8" x14ac:dyDescent="0.45">
      <c r="A5" s="39" t="s">
        <v>296</v>
      </c>
      <c r="B5" s="39" t="s">
        <v>297</v>
      </c>
      <c r="C5" s="39" t="s">
        <v>298</v>
      </c>
      <c r="D5" s="39" t="s">
        <v>299</v>
      </c>
      <c r="E5" s="39" t="s">
        <v>300</v>
      </c>
    </row>
    <row r="6" spans="1:8" x14ac:dyDescent="0.45">
      <c r="A6" s="40" t="s">
        <v>122</v>
      </c>
      <c r="B6" s="40" t="s">
        <v>301</v>
      </c>
      <c r="C6" s="40" t="s">
        <v>302</v>
      </c>
      <c r="D6" s="40" t="s">
        <v>303</v>
      </c>
      <c r="E6" s="41" t="s">
        <v>304</v>
      </c>
    </row>
    <row r="7" spans="1:8" x14ac:dyDescent="0.45">
      <c r="A7" s="40" t="s">
        <v>122</v>
      </c>
      <c r="B7" s="40" t="s">
        <v>305</v>
      </c>
      <c r="C7" s="40" t="s">
        <v>306</v>
      </c>
      <c r="D7" s="40" t="s">
        <v>303</v>
      </c>
      <c r="E7" s="41" t="s">
        <v>304</v>
      </c>
    </row>
    <row r="8" spans="1:8" x14ac:dyDescent="0.45">
      <c r="A8" s="40" t="s">
        <v>122</v>
      </c>
      <c r="B8" s="40" t="s">
        <v>307</v>
      </c>
      <c r="C8" s="40" t="s">
        <v>308</v>
      </c>
      <c r="D8" s="40" t="s">
        <v>303</v>
      </c>
      <c r="E8" s="41" t="s">
        <v>304</v>
      </c>
    </row>
    <row r="9" spans="1:8" x14ac:dyDescent="0.45">
      <c r="A9" s="40" t="s">
        <v>122</v>
      </c>
      <c r="B9" s="40" t="s">
        <v>309</v>
      </c>
      <c r="C9" s="40" t="s">
        <v>310</v>
      </c>
      <c r="D9" s="40" t="s">
        <v>311</v>
      </c>
      <c r="E9" s="41" t="s">
        <v>304</v>
      </c>
    </row>
    <row r="10" spans="1:8" ht="23.25" x14ac:dyDescent="0.45">
      <c r="A10" s="40" t="s">
        <v>122</v>
      </c>
      <c r="B10" s="40" t="s">
        <v>312</v>
      </c>
      <c r="C10" s="40" t="s">
        <v>313</v>
      </c>
      <c r="D10" s="40" t="s">
        <v>303</v>
      </c>
      <c r="E10" s="41" t="s">
        <v>314</v>
      </c>
    </row>
    <row r="11" spans="1:8" x14ac:dyDescent="0.45">
      <c r="A11" s="40" t="s">
        <v>122</v>
      </c>
      <c r="B11" s="40" t="s">
        <v>315</v>
      </c>
      <c r="C11" s="40" t="s">
        <v>316</v>
      </c>
      <c r="D11" s="40" t="s">
        <v>303</v>
      </c>
      <c r="E11" s="41" t="s">
        <v>317</v>
      </c>
    </row>
    <row r="12" spans="1:8" x14ac:dyDescent="0.45">
      <c r="A12" s="40" t="s">
        <v>122</v>
      </c>
      <c r="B12" s="40" t="s">
        <v>318</v>
      </c>
      <c r="C12" s="40" t="s">
        <v>319</v>
      </c>
      <c r="D12" s="40" t="s">
        <v>311</v>
      </c>
      <c r="E12" s="41" t="s">
        <v>317</v>
      </c>
    </row>
    <row r="13" spans="1:8" x14ac:dyDescent="0.45">
      <c r="A13" s="40" t="s">
        <v>122</v>
      </c>
      <c r="B13" s="40" t="s">
        <v>320</v>
      </c>
      <c r="C13" s="40" t="s">
        <v>321</v>
      </c>
      <c r="D13" s="40" t="s">
        <v>303</v>
      </c>
      <c r="E13" s="41" t="s">
        <v>322</v>
      </c>
    </row>
    <row r="14" spans="1:8" ht="23.25" x14ac:dyDescent="0.45">
      <c r="A14" s="40" t="s">
        <v>122</v>
      </c>
      <c r="B14" s="40" t="s">
        <v>323</v>
      </c>
      <c r="C14" s="40" t="s">
        <v>324</v>
      </c>
      <c r="D14" s="40" t="s">
        <v>303</v>
      </c>
      <c r="E14" s="41" t="s">
        <v>325</v>
      </c>
    </row>
    <row r="15" spans="1:8" x14ac:dyDescent="0.45">
      <c r="A15" s="40" t="s">
        <v>326</v>
      </c>
      <c r="B15" s="40" t="s">
        <v>327</v>
      </c>
      <c r="C15" s="40" t="s">
        <v>328</v>
      </c>
      <c r="D15" s="40" t="s">
        <v>329</v>
      </c>
      <c r="E15" s="41" t="s">
        <v>330</v>
      </c>
    </row>
    <row r="16" spans="1:8" x14ac:dyDescent="0.45">
      <c r="A16" s="40" t="s">
        <v>326</v>
      </c>
      <c r="B16" s="40" t="s">
        <v>331</v>
      </c>
      <c r="C16" s="40" t="s">
        <v>332</v>
      </c>
      <c r="D16" s="40" t="s">
        <v>329</v>
      </c>
      <c r="E16" s="41" t="s">
        <v>333</v>
      </c>
    </row>
    <row r="17" spans="1:5" x14ac:dyDescent="0.45">
      <c r="A17" s="40" t="s">
        <v>326</v>
      </c>
      <c r="B17" s="40" t="s">
        <v>334</v>
      </c>
      <c r="C17" s="40" t="s">
        <v>335</v>
      </c>
      <c r="D17" s="40" t="s">
        <v>329</v>
      </c>
      <c r="E17" s="41" t="s">
        <v>336</v>
      </c>
    </row>
    <row r="18" spans="1:5" x14ac:dyDescent="0.45">
      <c r="A18" s="40" t="s">
        <v>326</v>
      </c>
      <c r="B18" s="40" t="s">
        <v>337</v>
      </c>
      <c r="C18" s="40" t="s">
        <v>338</v>
      </c>
      <c r="D18" s="40" t="s">
        <v>329</v>
      </c>
      <c r="E18" s="41" t="s">
        <v>317</v>
      </c>
    </row>
    <row r="19" spans="1:5" x14ac:dyDescent="0.45">
      <c r="A19" s="40" t="s">
        <v>339</v>
      </c>
      <c r="B19" s="40" t="s">
        <v>340</v>
      </c>
      <c r="C19" s="40" t="s">
        <v>341</v>
      </c>
      <c r="D19" s="40" t="s">
        <v>342</v>
      </c>
      <c r="E19" s="41" t="s">
        <v>343</v>
      </c>
    </row>
    <row r="20" spans="1:5" x14ac:dyDescent="0.45">
      <c r="A20" s="40" t="s">
        <v>339</v>
      </c>
      <c r="B20" s="40" t="s">
        <v>344</v>
      </c>
      <c r="C20" s="40" t="s">
        <v>345</v>
      </c>
      <c r="D20" s="40" t="s">
        <v>342</v>
      </c>
      <c r="E20" s="41" t="s">
        <v>317</v>
      </c>
    </row>
    <row r="21" spans="1:5" x14ac:dyDescent="0.45">
      <c r="A21" s="40" t="s">
        <v>339</v>
      </c>
      <c r="B21" s="40" t="s">
        <v>346</v>
      </c>
      <c r="C21" s="40" t="s">
        <v>347</v>
      </c>
      <c r="D21" s="40" t="s">
        <v>342</v>
      </c>
      <c r="E21" s="41" t="s">
        <v>348</v>
      </c>
    </row>
    <row r="22" spans="1:5" x14ac:dyDescent="0.45">
      <c r="A22" s="40" t="s">
        <v>339</v>
      </c>
      <c r="B22" s="40" t="s">
        <v>349</v>
      </c>
      <c r="C22" s="40" t="s">
        <v>350</v>
      </c>
      <c r="D22" s="40" t="s">
        <v>342</v>
      </c>
      <c r="E22" s="41" t="s">
        <v>348</v>
      </c>
    </row>
    <row r="23" spans="1:5" x14ac:dyDescent="0.45">
      <c r="A23" s="40" t="s">
        <v>351</v>
      </c>
      <c r="B23" s="40" t="s">
        <v>352</v>
      </c>
      <c r="C23" s="40" t="s">
        <v>353</v>
      </c>
      <c r="D23" s="40" t="s">
        <v>354</v>
      </c>
      <c r="E23" s="41" t="s">
        <v>355</v>
      </c>
    </row>
    <row r="24" spans="1:5" x14ac:dyDescent="0.45">
      <c r="A24" s="40" t="s">
        <v>356</v>
      </c>
      <c r="B24" s="40" t="s">
        <v>357</v>
      </c>
      <c r="C24" s="40" t="s">
        <v>358</v>
      </c>
      <c r="D24" s="40" t="s">
        <v>359</v>
      </c>
      <c r="E24" s="41" t="s">
        <v>360</v>
      </c>
    </row>
    <row r="25" spans="1:5" x14ac:dyDescent="0.45">
      <c r="A25" s="40" t="s">
        <v>356</v>
      </c>
      <c r="B25" s="40" t="s">
        <v>361</v>
      </c>
      <c r="C25" s="40" t="s">
        <v>362</v>
      </c>
      <c r="D25" s="40" t="s">
        <v>359</v>
      </c>
      <c r="E25" s="41" t="s">
        <v>363</v>
      </c>
    </row>
    <row r="26" spans="1:5" ht="23.25" x14ac:dyDescent="0.45">
      <c r="A26" s="40" t="s">
        <v>356</v>
      </c>
      <c r="B26" s="40" t="s">
        <v>364</v>
      </c>
      <c r="C26" s="40" t="s">
        <v>365</v>
      </c>
      <c r="D26" s="40" t="s">
        <v>311</v>
      </c>
      <c r="E26" s="41" t="s">
        <v>366</v>
      </c>
    </row>
    <row r="27" spans="1:5" x14ac:dyDescent="0.45">
      <c r="A27" s="40" t="s">
        <v>367</v>
      </c>
      <c r="B27" s="40" t="s">
        <v>368</v>
      </c>
      <c r="C27" s="40" t="s">
        <v>369</v>
      </c>
      <c r="D27" s="40" t="s">
        <v>370</v>
      </c>
      <c r="E27" s="41" t="s">
        <v>371</v>
      </c>
    </row>
    <row r="28" spans="1:5" x14ac:dyDescent="0.45">
      <c r="A28" s="40" t="s">
        <v>367</v>
      </c>
      <c r="B28" s="40" t="s">
        <v>372</v>
      </c>
      <c r="C28" s="40" t="s">
        <v>373</v>
      </c>
      <c r="D28" s="40" t="s">
        <v>370</v>
      </c>
      <c r="E28" s="41" t="s">
        <v>371</v>
      </c>
    </row>
    <row r="29" spans="1:5" ht="23.25" x14ac:dyDescent="0.45">
      <c r="A29" s="40" t="s">
        <v>367</v>
      </c>
      <c r="B29" s="40" t="s">
        <v>374</v>
      </c>
      <c r="C29" s="40" t="s">
        <v>375</v>
      </c>
      <c r="D29" s="40" t="s">
        <v>376</v>
      </c>
      <c r="E29" s="41" t="s">
        <v>377</v>
      </c>
    </row>
    <row r="30" spans="1:5" x14ac:dyDescent="0.45">
      <c r="A30" s="40" t="s">
        <v>367</v>
      </c>
      <c r="B30" s="40" t="s">
        <v>378</v>
      </c>
      <c r="C30" s="40" t="s">
        <v>379</v>
      </c>
      <c r="D30" s="40" t="s">
        <v>380</v>
      </c>
      <c r="E30" s="41" t="s">
        <v>381</v>
      </c>
    </row>
    <row r="31" spans="1:5" x14ac:dyDescent="0.45">
      <c r="A31" s="40" t="s">
        <v>367</v>
      </c>
      <c r="B31" s="40" t="s">
        <v>382</v>
      </c>
      <c r="C31" s="40" t="s">
        <v>383</v>
      </c>
      <c r="D31" s="40" t="s">
        <v>384</v>
      </c>
      <c r="E31" s="41" t="s">
        <v>381</v>
      </c>
    </row>
    <row r="32" spans="1:5" x14ac:dyDescent="0.45">
      <c r="A32" s="40" t="s">
        <v>367</v>
      </c>
      <c r="B32" s="40" t="s">
        <v>385</v>
      </c>
      <c r="C32" s="40" t="s">
        <v>386</v>
      </c>
      <c r="D32" s="40" t="s">
        <v>380</v>
      </c>
      <c r="E32" s="41" t="s">
        <v>387</v>
      </c>
    </row>
    <row r="33" spans="1:5" x14ac:dyDescent="0.45">
      <c r="A33" s="40" t="s">
        <v>367</v>
      </c>
      <c r="B33" s="40" t="s">
        <v>388</v>
      </c>
      <c r="C33" s="40" t="s">
        <v>389</v>
      </c>
      <c r="D33" s="40" t="s">
        <v>390</v>
      </c>
      <c r="E33" s="41" t="s">
        <v>387</v>
      </c>
    </row>
    <row r="34" spans="1:5" x14ac:dyDescent="0.45">
      <c r="A34" s="40" t="s">
        <v>367</v>
      </c>
      <c r="B34" s="40" t="s">
        <v>391</v>
      </c>
      <c r="C34" s="40" t="s">
        <v>392</v>
      </c>
      <c r="D34" s="40" t="s">
        <v>393</v>
      </c>
      <c r="E34" s="41" t="s">
        <v>394</v>
      </c>
    </row>
    <row r="35" spans="1:5" x14ac:dyDescent="0.45">
      <c r="A35" s="40" t="s">
        <v>395</v>
      </c>
      <c r="B35" s="40" t="s">
        <v>396</v>
      </c>
      <c r="C35" s="40" t="s">
        <v>397</v>
      </c>
      <c r="D35" s="40" t="s">
        <v>398</v>
      </c>
      <c r="E35" s="41" t="s">
        <v>399</v>
      </c>
    </row>
    <row r="36" spans="1:5" x14ac:dyDescent="0.45">
      <c r="A36" s="40" t="s">
        <v>395</v>
      </c>
      <c r="B36" s="40" t="s">
        <v>400</v>
      </c>
      <c r="C36" s="40" t="s">
        <v>401</v>
      </c>
      <c r="D36" s="40" t="s">
        <v>398</v>
      </c>
      <c r="E36" s="41" t="s">
        <v>402</v>
      </c>
    </row>
    <row r="37" spans="1:5" x14ac:dyDescent="0.45">
      <c r="A37" s="40" t="s">
        <v>395</v>
      </c>
      <c r="B37" s="40" t="s">
        <v>403</v>
      </c>
      <c r="C37" s="40" t="s">
        <v>404</v>
      </c>
      <c r="D37" s="40" t="s">
        <v>398</v>
      </c>
      <c r="E37" s="41" t="s">
        <v>405</v>
      </c>
    </row>
    <row r="38" spans="1:5" x14ac:dyDescent="0.45">
      <c r="A38" s="40" t="s">
        <v>395</v>
      </c>
      <c r="B38" s="40" t="s">
        <v>406</v>
      </c>
      <c r="C38" s="40" t="s">
        <v>407</v>
      </c>
      <c r="D38" s="40" t="s">
        <v>214</v>
      </c>
      <c r="E38" s="41" t="s">
        <v>402</v>
      </c>
    </row>
    <row r="39" spans="1:5" x14ac:dyDescent="0.45">
      <c r="A39" s="40" t="s">
        <v>395</v>
      </c>
      <c r="B39" s="40" t="s">
        <v>408</v>
      </c>
      <c r="C39" s="40" t="s">
        <v>409</v>
      </c>
      <c r="D39" s="40" t="s">
        <v>410</v>
      </c>
      <c r="E39" s="41" t="s">
        <v>411</v>
      </c>
    </row>
    <row r="40" spans="1:5" x14ac:dyDescent="0.45">
      <c r="A40" s="40" t="s">
        <v>395</v>
      </c>
      <c r="B40" s="40" t="s">
        <v>412</v>
      </c>
      <c r="C40" s="40" t="s">
        <v>413</v>
      </c>
      <c r="D40" s="40" t="s">
        <v>414</v>
      </c>
      <c r="E40" s="41" t="s">
        <v>415</v>
      </c>
    </row>
    <row r="41" spans="1:5" x14ac:dyDescent="0.45">
      <c r="A41" s="40" t="s">
        <v>395</v>
      </c>
      <c r="B41" s="40" t="s">
        <v>416</v>
      </c>
      <c r="C41" s="40" t="s">
        <v>417</v>
      </c>
      <c r="D41" s="40" t="s">
        <v>418</v>
      </c>
      <c r="E41" s="41" t="s">
        <v>419</v>
      </c>
    </row>
    <row r="43" spans="1:5" x14ac:dyDescent="0.45">
      <c r="A43" s="3" t="s">
        <v>420</v>
      </c>
    </row>
    <row r="44" spans="1:5" x14ac:dyDescent="0.45">
      <c r="A44" s="49" t="s">
        <v>470</v>
      </c>
      <c r="B44" s="49" t="s">
        <v>471</v>
      </c>
      <c r="C44" s="49" t="s">
        <v>472</v>
      </c>
      <c r="D44" s="49" t="s">
        <v>473</v>
      </c>
      <c r="E44" s="49" t="s">
        <v>474</v>
      </c>
    </row>
    <row r="45" spans="1:5" x14ac:dyDescent="0.45">
      <c r="A45" s="49" t="s">
        <v>470</v>
      </c>
      <c r="B45" s="49" t="s">
        <v>475</v>
      </c>
      <c r="C45" s="49" t="s">
        <v>476</v>
      </c>
      <c r="D45" s="49" t="s">
        <v>414</v>
      </c>
      <c r="E45" s="49" t="s">
        <v>477</v>
      </c>
    </row>
    <row r="46" spans="1:5" x14ac:dyDescent="0.45">
      <c r="A46" s="49" t="s">
        <v>470</v>
      </c>
      <c r="B46" s="49" t="s">
        <v>478</v>
      </c>
      <c r="C46" s="49" t="s">
        <v>479</v>
      </c>
      <c r="D46" s="49" t="s">
        <v>480</v>
      </c>
      <c r="E46" s="49" t="s">
        <v>481</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0_README</vt:lpstr>
      <vt:lpstr>1_Cost_Job</vt:lpstr>
      <vt:lpstr>2_Pricing</vt:lpstr>
      <vt:lpstr>3_Value_Metric</vt:lpstr>
      <vt:lpstr>4_Channel_Fit</vt:lpstr>
      <vt:lpstr>5_90Day_Plan</vt:lpstr>
      <vt:lpstr>6_Benchmarks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Quoc Bao Vu</cp:lastModifiedBy>
  <cp:revision>0</cp:revision>
  <dcterms:created xsi:type="dcterms:W3CDTF">2026-08-26T15:07:08Z</dcterms:created>
  <dcterms:modified xsi:type="dcterms:W3CDTF">2026-10-08T08:43:22Z</dcterms:modified>
  <dc:language>en-US</dc:language>
</cp:coreProperties>
</file>